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ata\DA Material - Neha\Power BI\Classroom Definitions\"/>
    </mc:Choice>
  </mc:AlternateContent>
  <xr:revisionPtr revIDLastSave="0" documentId="13_ncr:1_{CDA7EA09-174B-4A82-B33F-CFE3818E36F5}" xr6:coauthVersionLast="47" xr6:coauthVersionMax="47" xr10:uidLastSave="{00000000-0000-0000-0000-000000000000}"/>
  <bookViews>
    <workbookView xWindow="-108" yWindow="-108" windowWidth="23256" windowHeight="12456" tabRatio="1000" xr2:uid="{6CE472F0-FDA7-46B2-A06C-21AA2FBF89F1}"/>
  </bookViews>
  <sheets>
    <sheet name="Charts &amp; Uses" sheetId="1" r:id="rId1"/>
    <sheet name="Curriculum (2)" sheetId="18" r:id="rId2"/>
    <sheet name="Questions" sheetId="3" r:id="rId3"/>
    <sheet name="Curriculum" sheetId="4" r:id="rId4"/>
    <sheet name="Sheet2" sheetId="17" r:id="rId5"/>
    <sheet name="group by" sheetId="5" r:id="rId6"/>
    <sheet name="Sheet1" sheetId="16" r:id="rId7"/>
    <sheet name="Fill" sheetId="6" r:id="rId8"/>
    <sheet name="Cardinality" sheetId="8" r:id="rId9"/>
    <sheet name="Schema Types" sheetId="15" r:id="rId10"/>
    <sheet name="Aggregations" sheetId="9" r:id="rId11"/>
    <sheet name="Functions" sheetId="10" r:id="rId12"/>
    <sheet name="Calendar Table" sheetId="11" r:id="rId13"/>
    <sheet name="Comparision Operators" sheetId="13" r:id="rId14"/>
    <sheet name="Logical Functions" sheetId="14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7" l="1"/>
  <c r="G8" i="17"/>
  <c r="G6" i="17"/>
</calcChain>
</file>

<file path=xl/sharedStrings.xml><?xml version="1.0" encoding="utf-8"?>
<sst xmlns="http://schemas.openxmlformats.org/spreadsheetml/2006/main" count="397" uniqueCount="282">
  <si>
    <t>Charts</t>
  </si>
  <si>
    <t>Column Chart</t>
  </si>
  <si>
    <t>Bar Chart</t>
  </si>
  <si>
    <t>Data</t>
  </si>
  <si>
    <t>Discrete Time: different time components</t>
  </si>
  <si>
    <t>e.g., year, month, quarter</t>
  </si>
  <si>
    <t>Use Cases:</t>
  </si>
  <si>
    <t>Value Comparision</t>
  </si>
  <si>
    <t>Rankings</t>
  </si>
  <si>
    <t>Pie Chart</t>
  </si>
  <si>
    <t>Donut Chart</t>
  </si>
  <si>
    <t>Category: text, geographical</t>
  </si>
  <si>
    <t>Category : text, geographical</t>
  </si>
  <si>
    <t>No. of categories &lt;= 5</t>
  </si>
  <si>
    <t>% share, value share</t>
  </si>
  <si>
    <t>compare proportion</t>
  </si>
  <si>
    <t>e.g., year, quarter, months</t>
  </si>
  <si>
    <t>Line</t>
  </si>
  <si>
    <t>Time , Contineous Data</t>
  </si>
  <si>
    <t>Trends</t>
  </si>
  <si>
    <t>Patterns</t>
  </si>
  <si>
    <t>Area Chart</t>
  </si>
  <si>
    <t>over time</t>
  </si>
  <si>
    <t>Stacked Area Chart</t>
  </si>
  <si>
    <t>for different categories</t>
  </si>
  <si>
    <t>Ribbon Chart</t>
  </si>
  <si>
    <t>Funnel Chart</t>
  </si>
  <si>
    <t>Category with levels</t>
  </si>
  <si>
    <t>track and compare the data changes</t>
  </si>
  <si>
    <t>from one level to another</t>
  </si>
  <si>
    <t>Treemap</t>
  </si>
  <si>
    <t>Category, Hierarchy</t>
  </si>
  <si>
    <t>Comapre the share, proportion and rankings</t>
  </si>
  <si>
    <t>No. of categories &gt; 5</t>
  </si>
  <si>
    <t>(5 - 10)</t>
  </si>
  <si>
    <t>Change in magnitude (value)/proportion</t>
  </si>
  <si>
    <t>Change in Magnitude/proportion, rankings</t>
  </si>
  <si>
    <t>Table</t>
  </si>
  <si>
    <t>All</t>
  </si>
  <si>
    <t>In - detail Information</t>
  </si>
  <si>
    <t>One Dimentional data</t>
  </si>
  <si>
    <t>Matrix</t>
  </si>
  <si>
    <t>Multi - Dimentional Data</t>
  </si>
  <si>
    <t>Bubble Chart</t>
  </si>
  <si>
    <t>Category, (2-3 numerical values)</t>
  </si>
  <si>
    <t>Comapre Category Data with 2-3 numerical values</t>
  </si>
  <si>
    <t>Track changes over time</t>
  </si>
  <si>
    <t>Scatter Chart</t>
  </si>
  <si>
    <t>Number Data</t>
  </si>
  <si>
    <t>Relationship between two numbers (+ve, -ve, no relation)</t>
  </si>
  <si>
    <t xml:space="preserve">Change in magnitude (value) </t>
  </si>
  <si>
    <t>What is Power BI?</t>
  </si>
  <si>
    <t>What are 3 components of Power BI?</t>
  </si>
  <si>
    <t>6 Steps of Data Analysis with Power BI?</t>
  </si>
  <si>
    <t>What is ETL?</t>
  </si>
  <si>
    <t>Where do we perform ETL in Power BI?</t>
  </si>
  <si>
    <t>Three views in Power BI Desktop?</t>
  </si>
  <si>
    <t>Commands used to -</t>
  </si>
  <si>
    <t>1) Extract Data in Power BI</t>
  </si>
  <si>
    <t>2) Load Data in Data Model</t>
  </si>
  <si>
    <t>Three Connectivity Modes in Power BI?</t>
  </si>
  <si>
    <t>end-to-end DA</t>
  </si>
  <si>
    <t>Filters</t>
  </si>
  <si>
    <t>Navigation</t>
  </si>
  <si>
    <t>Data Extract</t>
  </si>
  <si>
    <t>Report Features:</t>
  </si>
  <si>
    <t>Charts &amp; Slicers</t>
  </si>
  <si>
    <t>Power Query Editor:</t>
  </si>
  <si>
    <t>Data Combining</t>
  </si>
  <si>
    <t>Data Cleaning</t>
  </si>
  <si>
    <t xml:space="preserve">Data Shaping </t>
  </si>
  <si>
    <t>Data Profiling</t>
  </si>
  <si>
    <t>Data Modeling:</t>
  </si>
  <si>
    <t>Relationships</t>
  </si>
  <si>
    <t>Cardinality</t>
  </si>
  <si>
    <t>Cross-filter Direction</t>
  </si>
  <si>
    <t>Bridge Table</t>
  </si>
  <si>
    <t>Drill Down</t>
  </si>
  <si>
    <t>Drill Through</t>
  </si>
  <si>
    <t>Bookmarks</t>
  </si>
  <si>
    <t>Buttons</t>
  </si>
  <si>
    <t>Measures</t>
  </si>
  <si>
    <t>Calculated Columns</t>
  </si>
  <si>
    <t>Adv. Measures</t>
  </si>
  <si>
    <t>Quick Measures</t>
  </si>
  <si>
    <t>Calculated Tables</t>
  </si>
  <si>
    <t>Schema Types</t>
  </si>
  <si>
    <t>Data Refresh</t>
  </si>
  <si>
    <t>Power BI Service</t>
  </si>
  <si>
    <t>Sharing</t>
  </si>
  <si>
    <t xml:space="preserve">Workspace </t>
  </si>
  <si>
    <t>User Access</t>
  </si>
  <si>
    <t>Refresh Techniques</t>
  </si>
  <si>
    <t>Dashboards</t>
  </si>
  <si>
    <t>Dataflows</t>
  </si>
  <si>
    <t>Exporting</t>
  </si>
  <si>
    <t>Measure Table</t>
  </si>
  <si>
    <t>DAX:</t>
  </si>
  <si>
    <t>Bins &amp; Bucket</t>
  </si>
  <si>
    <t>Basic</t>
  </si>
  <si>
    <t>KPI cards</t>
  </si>
  <si>
    <t>Slicers</t>
  </si>
  <si>
    <t>Custom Viz</t>
  </si>
  <si>
    <t>AI Viz</t>
  </si>
  <si>
    <t>File</t>
  </si>
  <si>
    <t>Database</t>
  </si>
  <si>
    <t>Web</t>
  </si>
  <si>
    <t>Import</t>
  </si>
  <si>
    <t>Direct Query</t>
  </si>
  <si>
    <t>Live Connection</t>
  </si>
  <si>
    <t>New Columns</t>
  </si>
  <si>
    <t>Enable/Disable Load</t>
  </si>
  <si>
    <t>Legends &amp; Small Multiples</t>
  </si>
  <si>
    <t>Formatting</t>
  </si>
  <si>
    <t>Conditional Formatting</t>
  </si>
  <si>
    <t>Themes (JSON)</t>
  </si>
  <si>
    <t>Forecasting</t>
  </si>
  <si>
    <t>total sales by year</t>
  </si>
  <si>
    <t>Year</t>
  </si>
  <si>
    <t>Region</t>
  </si>
  <si>
    <t>Total Sales</t>
  </si>
  <si>
    <t>USA</t>
  </si>
  <si>
    <t>Austrelia</t>
  </si>
  <si>
    <t>NZ</t>
  </si>
  <si>
    <t>Group by</t>
  </si>
  <si>
    <t>Fill Down</t>
  </si>
  <si>
    <t>Fill UP</t>
  </si>
  <si>
    <t>null</t>
  </si>
  <si>
    <t>data which is absent and not known</t>
  </si>
  <si>
    <t>cardinality of relationships</t>
  </si>
  <si>
    <t>products</t>
  </si>
  <si>
    <t>products level</t>
  </si>
  <si>
    <t>table1 : table2</t>
  </si>
  <si>
    <t xml:space="preserve">table1 </t>
  </si>
  <si>
    <t>: table2</t>
  </si>
  <si>
    <t>sckey</t>
  </si>
  <si>
    <t>*</t>
  </si>
  <si>
    <t>Cardinality of a Column</t>
  </si>
  <si>
    <t>Types of Data</t>
  </si>
  <si>
    <t>Types of Agg. Functions</t>
  </si>
  <si>
    <t>Text</t>
  </si>
  <si>
    <t>Number</t>
  </si>
  <si>
    <t>Date</t>
  </si>
  <si>
    <t>SUM</t>
  </si>
  <si>
    <t>AVERAGE</t>
  </si>
  <si>
    <t>MIN</t>
  </si>
  <si>
    <t>Alpabetically first</t>
  </si>
  <si>
    <t>first date/earliest date</t>
  </si>
  <si>
    <t>MAX</t>
  </si>
  <si>
    <t>Alpabetically last</t>
  </si>
  <si>
    <t>last date/latest date</t>
  </si>
  <si>
    <t>COUNT</t>
  </si>
  <si>
    <t>DISTINCTCOUNT</t>
  </si>
  <si>
    <t>Agg. Functions</t>
  </si>
  <si>
    <t>Summary Tables</t>
  </si>
  <si>
    <t>Date Functions</t>
  </si>
  <si>
    <t>Advanced Measures</t>
  </si>
  <si>
    <t>GROUPBY</t>
  </si>
  <si>
    <t>DATEDIFF</t>
  </si>
  <si>
    <t>CALCULATE</t>
  </si>
  <si>
    <t>ARITHMATIC FORMULA</t>
  </si>
  <si>
    <t>SUMMARIZE</t>
  </si>
  <si>
    <t>DATESBETWEEN</t>
  </si>
  <si>
    <t>PREVIOUS…</t>
  </si>
  <si>
    <t>IF</t>
  </si>
  <si>
    <t>DATESINPERIOD</t>
  </si>
  <si>
    <t>NEXT…</t>
  </si>
  <si>
    <t>SWITCH</t>
  </si>
  <si>
    <t>Filter Tables</t>
  </si>
  <si>
    <t>YEAR</t>
  </si>
  <si>
    <t>DIVIDE</t>
  </si>
  <si>
    <t>FILTER</t>
  </si>
  <si>
    <t>QUARTER</t>
  </si>
  <si>
    <t>DATEADD</t>
  </si>
  <si>
    <t>CALCULATETABLE</t>
  </si>
  <si>
    <t>MONTH</t>
  </si>
  <si>
    <t>ALL</t>
  </si>
  <si>
    <t>DAY</t>
  </si>
  <si>
    <t>ALLEXCEPT</t>
  </si>
  <si>
    <t>Iterator functions</t>
  </si>
  <si>
    <t>Calendar Table</t>
  </si>
  <si>
    <t>WEEKNUM</t>
  </si>
  <si>
    <t>ALLSELECTED</t>
  </si>
  <si>
    <t>SUMX</t>
  </si>
  <si>
    <t>CALENDAR</t>
  </si>
  <si>
    <t>WEEKDAY</t>
  </si>
  <si>
    <t>AVERAGEX</t>
  </si>
  <si>
    <t>CALENDARAUTO</t>
  </si>
  <si>
    <t>FORMAT</t>
  </si>
  <si>
    <t>MINX</t>
  </si>
  <si>
    <t>MAXX</t>
  </si>
  <si>
    <t>COUNTX</t>
  </si>
  <si>
    <t>DISTINCT</t>
  </si>
  <si>
    <t>Time Intelligence</t>
  </si>
  <si>
    <t>Top N table</t>
  </si>
  <si>
    <t>TOTALMTD</t>
  </si>
  <si>
    <t>TOPN</t>
  </si>
  <si>
    <t>TOTALQTD</t>
  </si>
  <si>
    <t>TOTALYTD</t>
  </si>
  <si>
    <t>Order date</t>
  </si>
  <si>
    <t>Inconsistencies</t>
  </si>
  <si>
    <t>Column: start of year, start of month</t>
  </si>
  <si>
    <t>Comparision Operators</t>
  </si>
  <si>
    <t>Num</t>
  </si>
  <si>
    <t>text</t>
  </si>
  <si>
    <t>year = 2012</t>
  </si>
  <si>
    <t>=</t>
  </si>
  <si>
    <t>Exact match</t>
  </si>
  <si>
    <t>match</t>
  </si>
  <si>
    <t>year &lt; 2012</t>
  </si>
  <si>
    <t>&lt;</t>
  </si>
  <si>
    <t>Before</t>
  </si>
  <si>
    <t>Less than</t>
  </si>
  <si>
    <t>year &lt;= 2012</t>
  </si>
  <si>
    <t>&lt;=</t>
  </si>
  <si>
    <t>Before and On</t>
  </si>
  <si>
    <t>Max</t>
  </si>
  <si>
    <t>year &gt; 2012</t>
  </si>
  <si>
    <t>&gt;</t>
  </si>
  <si>
    <t>After</t>
  </si>
  <si>
    <t>Greater Than</t>
  </si>
  <si>
    <t>year &gt;= 2012</t>
  </si>
  <si>
    <t>&gt;=</t>
  </si>
  <si>
    <t>After and On</t>
  </si>
  <si>
    <t>Min</t>
  </si>
  <si>
    <t>year &lt;&gt; 2012</t>
  </si>
  <si>
    <t>&lt;&gt;</t>
  </si>
  <si>
    <t>Exclude</t>
  </si>
  <si>
    <t>no match</t>
  </si>
  <si>
    <t>Year IN {2012, 2013}</t>
  </si>
  <si>
    <t>IN</t>
  </si>
  <si>
    <t>Multiple Match</t>
  </si>
  <si>
    <t>AND()</t>
  </si>
  <si>
    <t>All conditions are compulsary</t>
  </si>
  <si>
    <t>OR()</t>
  </si>
  <si>
    <t>Atleast one is followed</t>
  </si>
  <si>
    <t>NOT()</t>
  </si>
  <si>
    <t xml:space="preserve">Reverse the Result </t>
  </si>
  <si>
    <t>True --&gt; False</t>
  </si>
  <si>
    <t>False --&gt; True</t>
  </si>
  <si>
    <t>DATA MODELING</t>
  </si>
  <si>
    <t>ETL</t>
  </si>
  <si>
    <t>Getting Started</t>
  </si>
  <si>
    <t>REPORTING</t>
  </si>
  <si>
    <t>BI in Cloud</t>
  </si>
  <si>
    <t>Adv. Charts</t>
  </si>
  <si>
    <t>Sales_ID</t>
  </si>
  <si>
    <t>Product_ID</t>
  </si>
  <si>
    <t>Customer_ID</t>
  </si>
  <si>
    <t>Total_Sales</t>
  </si>
  <si>
    <t>SALES</t>
  </si>
  <si>
    <t>Product_Name</t>
  </si>
  <si>
    <t>Product_Category</t>
  </si>
  <si>
    <t>PRODUCTS</t>
  </si>
  <si>
    <t>Month</t>
  </si>
  <si>
    <t>Weekday</t>
  </si>
  <si>
    <t>Quarter</t>
  </si>
  <si>
    <t>CUSTOMERS</t>
  </si>
  <si>
    <t>City</t>
  </si>
  <si>
    <t>Customer_Name</t>
  </si>
  <si>
    <t>Phone</t>
  </si>
  <si>
    <t>Country</t>
  </si>
  <si>
    <t>PRODUCT CATEGORY</t>
  </si>
  <si>
    <t>Category_Key</t>
  </si>
  <si>
    <t>REGION</t>
  </si>
  <si>
    <t>RETURNS</t>
  </si>
  <si>
    <t>Return_ID</t>
  </si>
  <si>
    <t>many(*)</t>
  </si>
  <si>
    <t>one-to-one (1:1)</t>
  </si>
  <si>
    <t>many-to-one (*:1)</t>
  </si>
  <si>
    <t>one-to-many (1:*)</t>
  </si>
  <si>
    <t>many-to-many (*:*)</t>
  </si>
  <si>
    <t>Table 1: Laptops</t>
  </si>
  <si>
    <t>Table 2: Customers</t>
  </si>
  <si>
    <t>one laptop ordered by one customer</t>
  </si>
  <si>
    <t>many laptops ordered by one customer</t>
  </si>
  <si>
    <t>one laptop ordered by many customers</t>
  </si>
  <si>
    <t>many laptops ordered by many customers</t>
  </si>
  <si>
    <t>Sales</t>
  </si>
  <si>
    <t>Running Total</t>
  </si>
  <si>
    <t>Get Data Advanced</t>
  </si>
  <si>
    <t>Adv. Get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</si>
</sst>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rgb="FF000000"/>
      <name val="Arial Rounded MT Bold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/>
      <bottom style="medium">
        <color theme="1"/>
      </bottom>
      <diagonal/>
    </border>
    <border>
      <left/>
      <right style="medium">
        <color theme="0"/>
      </right>
      <top/>
      <bottom style="medium">
        <color theme="1"/>
      </bottom>
      <diagonal/>
    </border>
    <border>
      <left/>
      <right style="thin">
        <color theme="1"/>
      </right>
      <top/>
      <bottom style="medium">
        <color indexed="64"/>
      </bottom>
      <diagonal/>
    </border>
    <border>
      <left/>
      <right style="medium">
        <color theme="0"/>
      </right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medium">
        <color theme="0"/>
      </left>
      <right style="thin">
        <color indexed="64"/>
      </right>
      <top style="medium">
        <color theme="1"/>
      </top>
      <bottom style="medium">
        <color theme="0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thin">
        <color indexed="64"/>
      </right>
      <top/>
      <bottom style="medium">
        <color theme="0"/>
      </bottom>
      <diagonal/>
    </border>
    <border>
      <left style="medium">
        <color theme="0"/>
      </left>
      <right style="thin">
        <color indexed="64"/>
      </right>
      <top/>
      <bottom style="medium">
        <color theme="1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/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0" fontId="0" fillId="0" borderId="13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20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20" fontId="0" fillId="2" borderId="0" xfId="0" applyNumberFormat="1" applyFill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6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7" borderId="0" xfId="0" applyFill="1"/>
    <xf numFmtId="0" fontId="0" fillId="8" borderId="0" xfId="0" applyFill="1"/>
    <xf numFmtId="14" fontId="0" fillId="0" borderId="0" xfId="0" applyNumberFormat="1"/>
    <xf numFmtId="0" fontId="0" fillId="3" borderId="17" xfId="0" applyFill="1" applyBorder="1"/>
    <xf numFmtId="0" fontId="0" fillId="0" borderId="17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1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2" borderId="9" xfId="0" applyFill="1" applyBorder="1" applyAlignment="1">
      <alignment horizontal="center" vertical="center"/>
    </xf>
    <xf numFmtId="0" fontId="0" fillId="2" borderId="10" xfId="0" applyFill="1" applyBorder="1"/>
    <xf numFmtId="0" fontId="0" fillId="2" borderId="5" xfId="0" applyFill="1" applyBorder="1"/>
    <xf numFmtId="0" fontId="0" fillId="2" borderId="11" xfId="0" applyFill="1" applyBorder="1"/>
    <xf numFmtId="0" fontId="0" fillId="2" borderId="6" xfId="0" applyFill="1" applyBorder="1"/>
    <xf numFmtId="0" fontId="0" fillId="2" borderId="12" xfId="0" applyFill="1" applyBorder="1"/>
    <xf numFmtId="0" fontId="0" fillId="2" borderId="3" xfId="0" applyFill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9" borderId="36" xfId="0" applyFill="1" applyBorder="1" applyAlignment="1">
      <alignment horizontal="center" vertical="center"/>
    </xf>
    <xf numFmtId="0" fontId="0" fillId="2" borderId="13" xfId="0" applyFill="1" applyBorder="1"/>
    <xf numFmtId="0" fontId="0" fillId="2" borderId="24" xfId="0" applyFill="1" applyBorder="1"/>
    <xf numFmtId="0" fontId="0" fillId="10" borderId="0" xfId="0" applyFill="1"/>
    <xf numFmtId="0" fontId="0" fillId="0" borderId="21" xfId="0" applyBorder="1" applyAlignment="1">
      <alignment horizontal="center" vertical="center"/>
    </xf>
    <xf numFmtId="0" fontId="0" fillId="0" borderId="38" xfId="0" applyBorder="1"/>
    <xf numFmtId="0" fontId="0" fillId="0" borderId="42" xfId="0" applyBorder="1"/>
    <xf numFmtId="0" fontId="0" fillId="0" borderId="43" xfId="0" applyBorder="1"/>
    <xf numFmtId="0" fontId="0" fillId="0" borderId="37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40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3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0" borderId="18" xfId="0" applyBorder="1" applyAlignment="1">
      <alignment horizontal="center" vertical="center" textRotation="90" wrapText="1"/>
    </xf>
    <xf numFmtId="0" fontId="0" fillId="0" borderId="19" xfId="0" applyBorder="1" applyAlignment="1">
      <alignment horizontal="center" vertical="center" textRotation="90" wrapText="1"/>
    </xf>
    <xf numFmtId="0" fontId="0" fillId="0" borderId="20" xfId="0" applyBorder="1" applyAlignment="1">
      <alignment horizontal="center" vertical="center" textRotation="90" wrapText="1"/>
    </xf>
    <xf numFmtId="0" fontId="0" fillId="0" borderId="38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18" xfId="0" applyBorder="1" applyAlignment="1">
      <alignment horizontal="center" vertical="center" textRotation="90"/>
    </xf>
    <xf numFmtId="0" fontId="0" fillId="0" borderId="19" xfId="0" applyBorder="1" applyAlignment="1">
      <alignment horizontal="center" vertical="center" textRotation="90"/>
    </xf>
    <xf numFmtId="0" fontId="0" fillId="0" borderId="20" xfId="0" applyBorder="1" applyAlignment="1">
      <alignment horizontal="center" vertical="center" textRotation="90"/>
    </xf>
    <xf numFmtId="0" fontId="0" fillId="0" borderId="3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4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655320</xdr:colOff>
          <xdr:row>9</xdr:row>
          <xdr:rowOff>121920</xdr:rowOff>
        </xdr:from>
        <xdr:to>
          <xdr:col>4</xdr:col>
          <xdr:colOff>358140</xdr:colOff>
          <xdr:row>11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Arial Rounded MT Bold"/>
                </a:rPr>
                <a:t>STAR Schema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624840</xdr:colOff>
          <xdr:row>12</xdr:row>
          <xdr:rowOff>76200</xdr:rowOff>
        </xdr:from>
        <xdr:to>
          <xdr:col>5</xdr:col>
          <xdr:colOff>624840</xdr:colOff>
          <xdr:row>14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Arial Rounded MT Bold"/>
                </a:rPr>
                <a:t>SNOWFLAKES Schema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15</xdr:row>
          <xdr:rowOff>83820</xdr:rowOff>
        </xdr:from>
        <xdr:to>
          <xdr:col>5</xdr:col>
          <xdr:colOff>861060</xdr:colOff>
          <xdr:row>17</xdr:row>
          <xdr:rowOff>106680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Arial Rounded MT Bold"/>
                </a:rPr>
                <a:t>CONSTELLATION Schema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BD234-424C-4B92-AF1D-87A31E0D610E}">
  <dimension ref="B2:L42"/>
  <sheetViews>
    <sheetView showGridLines="0" tabSelected="1" zoomScale="115" zoomScaleNormal="115" workbookViewId="0">
      <selection activeCell="L6" sqref="L6"/>
    </sheetView>
  </sheetViews>
  <sheetFormatPr defaultRowHeight="14.4" x14ac:dyDescent="0.3"/>
  <cols>
    <col min="1" max="1" width="4.109375" customWidth="1"/>
    <col min="2" max="2" width="16.88671875" bestFit="1" customWidth="1"/>
    <col min="3" max="3" width="3.44140625" customWidth="1"/>
    <col min="8" max="8" width="2.88671875" customWidth="1"/>
    <col min="9" max="9" width="49.88671875" bestFit="1" customWidth="1"/>
    <col min="10" max="10" width="12.77734375" customWidth="1"/>
  </cols>
  <sheetData>
    <row r="2" spans="2:12" x14ac:dyDescent="0.3">
      <c r="B2" s="1" t="s">
        <v>0</v>
      </c>
      <c r="D2" s="84" t="s">
        <v>3</v>
      </c>
      <c r="E2" s="84"/>
      <c r="F2" s="84"/>
      <c r="G2" s="84"/>
      <c r="I2" s="84" t="s">
        <v>6</v>
      </c>
      <c r="J2" s="84"/>
    </row>
    <row r="4" spans="2:12" x14ac:dyDescent="0.3">
      <c r="B4" s="2" t="s">
        <v>1</v>
      </c>
      <c r="C4" s="2"/>
      <c r="D4" s="83" t="s">
        <v>12</v>
      </c>
      <c r="E4" s="83"/>
      <c r="F4" s="83"/>
      <c r="G4" s="83"/>
      <c r="H4" s="2"/>
      <c r="I4" s="2" t="s">
        <v>7</v>
      </c>
      <c r="J4" s="2"/>
    </row>
    <row r="5" spans="2:12" x14ac:dyDescent="0.3">
      <c r="B5" s="2" t="s">
        <v>2</v>
      </c>
      <c r="C5" s="2"/>
      <c r="D5" s="83" t="s">
        <v>4</v>
      </c>
      <c r="E5" s="83"/>
      <c r="F5" s="83"/>
      <c r="G5" s="83"/>
      <c r="H5" s="2"/>
      <c r="I5" s="2" t="s">
        <v>8</v>
      </c>
      <c r="J5" s="2"/>
    </row>
    <row r="6" spans="2:12" x14ac:dyDescent="0.3">
      <c r="B6" s="2"/>
      <c r="C6" s="2"/>
      <c r="D6" s="83" t="s">
        <v>5</v>
      </c>
      <c r="E6" s="83"/>
      <c r="F6" s="83"/>
      <c r="G6" s="83"/>
      <c r="H6" s="2"/>
      <c r="I6" s="2"/>
      <c r="J6" s="2"/>
    </row>
    <row r="8" spans="2:12" x14ac:dyDescent="0.3">
      <c r="B8" s="2" t="s">
        <v>9</v>
      </c>
      <c r="C8" s="2"/>
      <c r="D8" s="2" t="s">
        <v>11</v>
      </c>
      <c r="E8" s="2"/>
      <c r="F8" s="2"/>
      <c r="G8" s="2"/>
      <c r="H8" s="2"/>
      <c r="I8" s="2" t="s">
        <v>13</v>
      </c>
      <c r="J8" s="2"/>
    </row>
    <row r="9" spans="2:12" x14ac:dyDescent="0.3">
      <c r="B9" s="2" t="s">
        <v>10</v>
      </c>
      <c r="C9" s="2"/>
      <c r="D9" s="83" t="s">
        <v>4</v>
      </c>
      <c r="E9" s="83"/>
      <c r="F9" s="83"/>
      <c r="G9" s="83"/>
      <c r="H9" s="2"/>
      <c r="I9" s="2" t="s">
        <v>14</v>
      </c>
      <c r="J9" s="2"/>
    </row>
    <row r="10" spans="2:12" x14ac:dyDescent="0.3">
      <c r="B10" s="2"/>
      <c r="C10" s="2"/>
      <c r="D10" s="2" t="s">
        <v>16</v>
      </c>
      <c r="E10" s="2"/>
      <c r="F10" s="2"/>
      <c r="G10" s="2"/>
      <c r="H10" s="2"/>
      <c r="I10" s="2" t="s">
        <v>15</v>
      </c>
      <c r="J10" s="2"/>
    </row>
    <row r="12" spans="2:12" x14ac:dyDescent="0.3">
      <c r="B12" s="2" t="s">
        <v>17</v>
      </c>
      <c r="C12" s="2"/>
      <c r="D12" s="2" t="s">
        <v>18</v>
      </c>
      <c r="E12" s="2"/>
      <c r="F12" s="2"/>
      <c r="G12" s="2"/>
      <c r="H12" s="2"/>
      <c r="I12" s="2" t="s">
        <v>19</v>
      </c>
      <c r="J12" s="2"/>
    </row>
    <row r="13" spans="2:12" x14ac:dyDescent="0.3">
      <c r="B13" s="2"/>
      <c r="C13" s="2"/>
      <c r="D13" s="2"/>
      <c r="E13" s="2"/>
      <c r="F13" s="2"/>
      <c r="G13" s="2"/>
      <c r="H13" s="2"/>
      <c r="I13" s="2" t="s">
        <v>20</v>
      </c>
      <c r="J13" s="2"/>
    </row>
    <row r="15" spans="2:12" x14ac:dyDescent="0.3">
      <c r="B15" s="2" t="s">
        <v>21</v>
      </c>
      <c r="C15" s="2"/>
      <c r="D15" s="2" t="s">
        <v>18</v>
      </c>
      <c r="E15" s="2"/>
      <c r="F15" s="2"/>
      <c r="G15" s="2"/>
      <c r="H15" s="2"/>
      <c r="I15" s="2" t="s">
        <v>50</v>
      </c>
      <c r="J15" s="2"/>
      <c r="K15" s="2"/>
      <c r="L15" s="2"/>
    </row>
    <row r="16" spans="2:12" x14ac:dyDescent="0.3">
      <c r="B16" s="2"/>
      <c r="C16" s="2"/>
      <c r="D16" s="2"/>
      <c r="E16" s="2"/>
      <c r="F16" s="2"/>
      <c r="G16" s="2"/>
      <c r="H16" s="2"/>
      <c r="I16" s="2" t="s">
        <v>22</v>
      </c>
      <c r="J16" s="2"/>
      <c r="K16" s="2"/>
      <c r="L16" s="2"/>
    </row>
    <row r="18" spans="2:12" x14ac:dyDescent="0.3">
      <c r="B18" s="2" t="s">
        <v>23</v>
      </c>
      <c r="C18" s="2"/>
      <c r="D18" s="2" t="s">
        <v>18</v>
      </c>
      <c r="E18" s="2"/>
      <c r="F18" s="2"/>
      <c r="G18" s="2"/>
      <c r="H18" s="2"/>
      <c r="I18" s="2" t="s">
        <v>35</v>
      </c>
      <c r="J18" s="2"/>
      <c r="K18" s="2"/>
      <c r="L18" s="2"/>
    </row>
    <row r="19" spans="2:12" x14ac:dyDescent="0.3">
      <c r="B19" s="2"/>
      <c r="C19" s="2"/>
      <c r="D19" s="2"/>
      <c r="E19" s="2"/>
      <c r="F19" s="2"/>
      <c r="G19" s="2"/>
      <c r="H19" s="2"/>
      <c r="I19" s="2" t="s">
        <v>24</v>
      </c>
      <c r="J19" s="2"/>
      <c r="K19" s="2"/>
      <c r="L19" s="2"/>
    </row>
    <row r="20" spans="2:12" x14ac:dyDescent="0.3">
      <c r="B20" s="2"/>
      <c r="C20" s="2"/>
      <c r="D20" s="2"/>
      <c r="E20" s="2"/>
      <c r="F20" s="2"/>
      <c r="G20" s="2"/>
      <c r="H20" s="2"/>
      <c r="I20" s="2" t="s">
        <v>22</v>
      </c>
      <c r="J20" s="2"/>
      <c r="K20" s="2"/>
      <c r="L20" s="2"/>
    </row>
    <row r="22" spans="2:12" x14ac:dyDescent="0.3">
      <c r="B22" s="2" t="s">
        <v>25</v>
      </c>
      <c r="C22" s="2"/>
      <c r="D22" s="2" t="s">
        <v>18</v>
      </c>
      <c r="E22" s="2"/>
      <c r="F22" s="2"/>
      <c r="G22" s="2"/>
      <c r="H22" s="2"/>
      <c r="I22" s="2" t="s">
        <v>36</v>
      </c>
      <c r="J22" s="2"/>
      <c r="K22" s="2"/>
      <c r="L22" s="2"/>
    </row>
    <row r="23" spans="2:12" x14ac:dyDescent="0.3">
      <c r="B23" s="2"/>
      <c r="C23" s="2"/>
      <c r="D23" s="2"/>
      <c r="E23" s="2"/>
      <c r="F23" s="2"/>
      <c r="G23" s="2"/>
      <c r="H23" s="2"/>
      <c r="I23" s="2" t="s">
        <v>24</v>
      </c>
      <c r="J23" s="2"/>
      <c r="K23" s="2"/>
      <c r="L23" s="2"/>
    </row>
    <row r="24" spans="2:12" x14ac:dyDescent="0.3">
      <c r="B24" s="2"/>
      <c r="C24" s="2"/>
      <c r="D24" s="2"/>
      <c r="E24" s="2"/>
      <c r="F24" s="2"/>
      <c r="G24" s="2"/>
      <c r="H24" s="2"/>
      <c r="I24" s="2" t="s">
        <v>22</v>
      </c>
      <c r="J24" s="2"/>
      <c r="K24" s="2"/>
      <c r="L24" s="2"/>
    </row>
    <row r="26" spans="2:12" x14ac:dyDescent="0.3">
      <c r="B26" s="2" t="s">
        <v>26</v>
      </c>
      <c r="C26" s="2"/>
      <c r="D26" s="2" t="s">
        <v>27</v>
      </c>
      <c r="E26" s="2"/>
      <c r="F26" s="2"/>
      <c r="G26" s="2"/>
      <c r="H26" s="2"/>
      <c r="I26" s="2" t="s">
        <v>28</v>
      </c>
      <c r="J26" s="2"/>
      <c r="K26" s="2"/>
      <c r="L26" s="2"/>
    </row>
    <row r="27" spans="2:12" x14ac:dyDescent="0.3">
      <c r="B27" s="2"/>
      <c r="C27" s="2"/>
      <c r="D27" s="2"/>
      <c r="E27" s="2"/>
      <c r="F27" s="2"/>
      <c r="G27" s="2"/>
      <c r="H27" s="2"/>
      <c r="I27" s="2" t="s">
        <v>29</v>
      </c>
      <c r="J27" s="2"/>
      <c r="K27" s="2"/>
      <c r="L27" s="2"/>
    </row>
    <row r="29" spans="2:12" x14ac:dyDescent="0.3">
      <c r="B29" s="2" t="s">
        <v>30</v>
      </c>
      <c r="C29" s="2"/>
      <c r="D29" s="2" t="s">
        <v>31</v>
      </c>
      <c r="E29" s="2"/>
      <c r="F29" s="2"/>
      <c r="G29" s="2"/>
      <c r="H29" s="2"/>
      <c r="I29" s="2" t="s">
        <v>32</v>
      </c>
      <c r="J29" s="2"/>
      <c r="K29" s="2"/>
      <c r="L29" s="2"/>
    </row>
    <row r="30" spans="2:12" x14ac:dyDescent="0.3">
      <c r="B30" s="2"/>
      <c r="C30" s="2"/>
      <c r="D30" s="2"/>
      <c r="E30" s="2"/>
      <c r="F30" s="2"/>
      <c r="G30" s="2"/>
      <c r="H30" s="2"/>
      <c r="I30" s="2" t="s">
        <v>33</v>
      </c>
      <c r="J30" s="2"/>
      <c r="K30" s="2" t="s">
        <v>34</v>
      </c>
      <c r="L30" s="2"/>
    </row>
    <row r="32" spans="2:12" x14ac:dyDescent="0.3">
      <c r="B32" s="2" t="s">
        <v>37</v>
      </c>
      <c r="C32" s="2"/>
      <c r="D32" s="2" t="s">
        <v>38</v>
      </c>
      <c r="E32" s="2"/>
      <c r="F32" s="2"/>
      <c r="G32" s="2"/>
      <c r="H32" s="2"/>
      <c r="I32" s="2" t="s">
        <v>39</v>
      </c>
      <c r="J32" s="2"/>
      <c r="K32" s="2"/>
      <c r="L32" s="2"/>
    </row>
    <row r="33" spans="2:12" x14ac:dyDescent="0.3">
      <c r="B33" s="2"/>
      <c r="C33" s="2"/>
      <c r="D33" s="2"/>
      <c r="E33" s="2"/>
      <c r="F33" s="2"/>
      <c r="G33" s="2"/>
      <c r="H33" s="2"/>
      <c r="I33" s="2" t="s">
        <v>40</v>
      </c>
      <c r="J33" s="2"/>
      <c r="K33" s="2"/>
      <c r="L33" s="2"/>
    </row>
    <row r="35" spans="2:12" x14ac:dyDescent="0.3">
      <c r="B35" s="2" t="s">
        <v>41</v>
      </c>
      <c r="C35" s="2"/>
      <c r="D35" s="2" t="s">
        <v>38</v>
      </c>
      <c r="E35" s="2"/>
      <c r="F35" s="2"/>
      <c r="G35" s="2"/>
      <c r="H35" s="2"/>
      <c r="I35" s="2" t="s">
        <v>39</v>
      </c>
      <c r="J35" s="2"/>
      <c r="K35" s="2"/>
      <c r="L35" s="2"/>
    </row>
    <row r="36" spans="2:12" x14ac:dyDescent="0.3">
      <c r="B36" s="2"/>
      <c r="C36" s="2"/>
      <c r="D36" s="2"/>
      <c r="E36" s="2"/>
      <c r="F36" s="2"/>
      <c r="G36" s="2"/>
      <c r="H36" s="2"/>
      <c r="I36" s="2" t="s">
        <v>42</v>
      </c>
      <c r="J36" s="2"/>
      <c r="K36" s="2"/>
      <c r="L36" s="2"/>
    </row>
    <row r="38" spans="2:12" x14ac:dyDescent="0.3">
      <c r="B38" s="2" t="s">
        <v>43</v>
      </c>
      <c r="C38" s="2"/>
      <c r="D38" s="2" t="s">
        <v>44</v>
      </c>
      <c r="E38" s="2"/>
      <c r="F38" s="2"/>
      <c r="G38" s="2"/>
      <c r="H38" s="2"/>
      <c r="I38" s="2" t="s">
        <v>45</v>
      </c>
      <c r="J38" s="2"/>
      <c r="K38" s="2"/>
      <c r="L38" s="2"/>
    </row>
    <row r="39" spans="2:12" x14ac:dyDescent="0.3">
      <c r="B39" s="2"/>
      <c r="C39" s="2"/>
      <c r="D39" s="2"/>
      <c r="E39" s="2"/>
      <c r="F39" s="2"/>
      <c r="G39" s="2"/>
      <c r="H39" s="2"/>
      <c r="I39" s="2" t="s">
        <v>46</v>
      </c>
      <c r="J39" s="2"/>
      <c r="K39" s="2"/>
      <c r="L39" s="2"/>
    </row>
    <row r="41" spans="2:12" x14ac:dyDescent="0.3">
      <c r="B41" s="2" t="s">
        <v>47</v>
      </c>
      <c r="C41" s="2"/>
      <c r="D41" s="2" t="s">
        <v>48</v>
      </c>
      <c r="E41" s="2"/>
      <c r="F41" s="2"/>
      <c r="G41" s="2"/>
      <c r="H41" s="2"/>
      <c r="I41" s="2" t="s">
        <v>49</v>
      </c>
      <c r="J41" s="2"/>
      <c r="K41" s="2"/>
      <c r="L41" s="2"/>
    </row>
    <row r="42" spans="2:12" x14ac:dyDescent="0.3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</sheetData>
  <mergeCells count="6">
    <mergeCell ref="D9:G9"/>
    <mergeCell ref="I2:J2"/>
    <mergeCell ref="D2:G2"/>
    <mergeCell ref="D4:G4"/>
    <mergeCell ref="D5:G5"/>
    <mergeCell ref="D6:G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80F33-61E5-48F9-B3A8-C0FE3341CAB0}">
  <dimension ref="C1:M24"/>
  <sheetViews>
    <sheetView showGridLines="0" topLeftCell="B1" zoomScale="110" zoomScaleNormal="110" workbookViewId="0">
      <selection activeCell="O10" sqref="O10"/>
    </sheetView>
  </sheetViews>
  <sheetFormatPr defaultRowHeight="14.4" x14ac:dyDescent="0.3"/>
  <cols>
    <col min="1" max="1" width="4.88671875" customWidth="1"/>
    <col min="2" max="2" width="17.77734375" bestFit="1" customWidth="1"/>
    <col min="3" max="3" width="7.5546875" customWidth="1"/>
    <col min="4" max="4" width="17.88671875" bestFit="1" customWidth="1"/>
    <col min="5" max="5" width="14.21875" bestFit="1" customWidth="1"/>
    <col min="6" max="6" width="1.6640625" customWidth="1"/>
    <col min="7" max="7" width="22.88671875" bestFit="1" customWidth="1"/>
    <col min="8" max="8" width="2.5546875" customWidth="1"/>
    <col min="9" max="9" width="18.109375" bestFit="1" customWidth="1"/>
    <col min="10" max="10" width="2.33203125" customWidth="1"/>
    <col min="11" max="11" width="16.88671875" bestFit="1" customWidth="1"/>
    <col min="12" max="12" width="1.77734375" customWidth="1"/>
    <col min="13" max="13" width="12.21875" bestFit="1" customWidth="1"/>
  </cols>
  <sheetData>
    <row r="1" spans="3:13" ht="15" thickBot="1" x14ac:dyDescent="0.35"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3:13" ht="15" thickBot="1" x14ac:dyDescent="0.35">
      <c r="C2" s="85" t="s">
        <v>242</v>
      </c>
      <c r="D2" s="59" t="s">
        <v>63</v>
      </c>
      <c r="E2" s="60"/>
      <c r="F2" s="61"/>
      <c r="G2" s="61"/>
      <c r="H2" s="61"/>
      <c r="I2" s="61"/>
      <c r="J2" s="61"/>
      <c r="K2" s="61"/>
      <c r="L2" s="61"/>
      <c r="M2" s="62"/>
    </row>
    <row r="3" spans="3:13" x14ac:dyDescent="0.3">
      <c r="C3" s="86"/>
      <c r="D3" s="88" t="s">
        <v>64</v>
      </c>
      <c r="E3" s="63" t="s">
        <v>104</v>
      </c>
      <c r="G3" t="s">
        <v>105</v>
      </c>
      <c r="I3" t="s">
        <v>106</v>
      </c>
      <c r="K3" t="s">
        <v>281</v>
      </c>
      <c r="M3" s="64"/>
    </row>
    <row r="4" spans="3:13" ht="15" thickBot="1" x14ac:dyDescent="0.35">
      <c r="C4" s="87"/>
      <c r="D4" s="90"/>
      <c r="E4" s="104" t="s">
        <v>107</v>
      </c>
      <c r="F4" s="66"/>
      <c r="G4" s="67" t="s">
        <v>108</v>
      </c>
      <c r="H4" s="66"/>
      <c r="I4" s="67" t="s">
        <v>109</v>
      </c>
      <c r="J4" s="66"/>
      <c r="K4" s="66"/>
      <c r="L4" s="66"/>
      <c r="M4" s="68"/>
    </row>
    <row r="5" spans="3:13" ht="12" customHeight="1" x14ac:dyDescent="0.3">
      <c r="C5" s="91" t="s">
        <v>243</v>
      </c>
      <c r="D5" s="88" t="s">
        <v>66</v>
      </c>
      <c r="E5" s="69"/>
      <c r="F5" s="70"/>
      <c r="G5" s="70"/>
      <c r="H5" s="70"/>
      <c r="I5" s="70"/>
      <c r="J5" s="61"/>
      <c r="K5" s="70"/>
      <c r="L5" s="70"/>
      <c r="M5" s="71"/>
    </row>
    <row r="6" spans="3:13" ht="15" customHeight="1" x14ac:dyDescent="0.3">
      <c r="C6" s="92"/>
      <c r="D6" s="89"/>
      <c r="E6" s="63" t="s">
        <v>99</v>
      </c>
      <c r="G6" t="s">
        <v>112</v>
      </c>
      <c r="I6" t="s">
        <v>245</v>
      </c>
      <c r="K6" t="s">
        <v>101</v>
      </c>
      <c r="M6" s="64" t="s">
        <v>100</v>
      </c>
    </row>
    <row r="7" spans="3:13" ht="15" thickBot="1" x14ac:dyDescent="0.35">
      <c r="C7" s="92"/>
      <c r="D7" s="94"/>
      <c r="E7" s="65" t="s">
        <v>102</v>
      </c>
      <c r="F7" s="66"/>
      <c r="G7" s="66" t="s">
        <v>103</v>
      </c>
      <c r="H7" s="66"/>
      <c r="I7" s="66" t="s">
        <v>116</v>
      </c>
      <c r="J7" s="66"/>
      <c r="K7" s="66"/>
      <c r="L7" s="66"/>
      <c r="M7" s="68"/>
    </row>
    <row r="8" spans="3:13" x14ac:dyDescent="0.3">
      <c r="C8" s="92"/>
      <c r="D8" s="95" t="s">
        <v>113</v>
      </c>
      <c r="E8" s="60"/>
      <c r="F8" s="61"/>
      <c r="G8" s="61"/>
      <c r="H8" s="61"/>
      <c r="I8" s="61"/>
      <c r="J8" s="61"/>
      <c r="K8" s="61"/>
      <c r="L8" s="61"/>
      <c r="M8" s="62"/>
    </row>
    <row r="9" spans="3:13" ht="14.4" customHeight="1" thickBot="1" x14ac:dyDescent="0.35">
      <c r="C9" s="92"/>
      <c r="D9" s="90"/>
      <c r="E9" s="65" t="s">
        <v>113</v>
      </c>
      <c r="F9" s="66"/>
      <c r="G9" s="66" t="s">
        <v>114</v>
      </c>
      <c r="H9" s="66"/>
      <c r="I9" s="66" t="s">
        <v>115</v>
      </c>
      <c r="J9" s="66"/>
      <c r="K9" s="66"/>
      <c r="L9" s="66"/>
      <c r="M9" s="68"/>
    </row>
    <row r="10" spans="3:13" x14ac:dyDescent="0.3">
      <c r="C10" s="92"/>
      <c r="D10" s="88" t="s">
        <v>65</v>
      </c>
      <c r="E10" s="69"/>
      <c r="F10" s="70"/>
      <c r="G10" s="70"/>
      <c r="H10" s="70"/>
      <c r="I10" s="70"/>
      <c r="J10" s="70"/>
      <c r="K10" s="70"/>
      <c r="L10" s="70"/>
      <c r="M10" s="71"/>
    </row>
    <row r="11" spans="3:13" ht="15" thickBot="1" x14ac:dyDescent="0.35">
      <c r="C11" s="93"/>
      <c r="D11" s="90"/>
      <c r="E11" s="72" t="s">
        <v>62</v>
      </c>
      <c r="F11" s="41"/>
      <c r="G11" s="41" t="s">
        <v>77</v>
      </c>
      <c r="H11" s="41"/>
      <c r="I11" s="41" t="s">
        <v>78</v>
      </c>
      <c r="J11" s="41"/>
      <c r="K11" s="41" t="s">
        <v>79</v>
      </c>
      <c r="L11" s="41"/>
      <c r="M11" s="73" t="s">
        <v>80</v>
      </c>
    </row>
    <row r="12" spans="3:13" x14ac:dyDescent="0.3">
      <c r="C12" s="91" t="s">
        <v>241</v>
      </c>
      <c r="D12" s="88" t="s">
        <v>67</v>
      </c>
      <c r="E12" s="69"/>
      <c r="F12" s="70"/>
      <c r="G12" s="70"/>
      <c r="H12" s="70"/>
      <c r="I12" s="70"/>
      <c r="J12" s="70"/>
      <c r="K12" s="70"/>
      <c r="L12" s="70"/>
      <c r="M12" s="71"/>
    </row>
    <row r="13" spans="3:13" x14ac:dyDescent="0.3">
      <c r="C13" s="92"/>
      <c r="D13" s="89"/>
      <c r="E13" s="63" t="s">
        <v>68</v>
      </c>
      <c r="G13" t="s">
        <v>69</v>
      </c>
      <c r="I13" t="s">
        <v>110</v>
      </c>
      <c r="K13" t="s">
        <v>70</v>
      </c>
      <c r="M13" s="64" t="s">
        <v>71</v>
      </c>
    </row>
    <row r="14" spans="3:13" ht="15" thickBot="1" x14ac:dyDescent="0.35">
      <c r="C14" s="93"/>
      <c r="D14" s="90"/>
      <c r="E14" s="72" t="s">
        <v>87</v>
      </c>
      <c r="F14" s="41"/>
      <c r="G14" s="41" t="s">
        <v>111</v>
      </c>
      <c r="H14" s="41"/>
      <c r="I14" s="41"/>
      <c r="J14" s="41"/>
      <c r="K14" s="41"/>
      <c r="L14" s="41"/>
      <c r="M14" s="73"/>
    </row>
    <row r="15" spans="3:13" x14ac:dyDescent="0.3">
      <c r="C15" s="91" t="s">
        <v>240</v>
      </c>
      <c r="D15" s="88" t="s">
        <v>72</v>
      </c>
      <c r="E15" s="69"/>
      <c r="F15" s="70"/>
      <c r="G15" s="74"/>
      <c r="H15" s="70"/>
      <c r="I15" s="70"/>
      <c r="J15" s="70"/>
      <c r="K15" s="70"/>
      <c r="L15" s="70"/>
      <c r="M15" s="71"/>
    </row>
    <row r="16" spans="3:13" ht="15" thickBot="1" x14ac:dyDescent="0.35">
      <c r="C16" s="92"/>
      <c r="D16" s="90"/>
      <c r="E16" s="72" t="s">
        <v>73</v>
      </c>
      <c r="F16" s="41"/>
      <c r="G16" s="41" t="s">
        <v>74</v>
      </c>
      <c r="H16" s="41"/>
      <c r="I16" s="41" t="s">
        <v>75</v>
      </c>
      <c r="J16" s="41"/>
      <c r="K16" s="41" t="s">
        <v>86</v>
      </c>
      <c r="L16" s="41"/>
      <c r="M16" s="73" t="s">
        <v>76</v>
      </c>
    </row>
    <row r="17" spans="3:13" ht="15" thickBot="1" x14ac:dyDescent="0.35">
      <c r="C17" s="92"/>
      <c r="D17" s="88" t="s">
        <v>97</v>
      </c>
      <c r="E17" s="75"/>
      <c r="F17" s="76"/>
      <c r="G17" s="76"/>
      <c r="H17" s="76"/>
      <c r="I17" s="76"/>
      <c r="J17" s="76"/>
      <c r="K17" s="76"/>
      <c r="L17" s="76"/>
      <c r="M17" s="77"/>
    </row>
    <row r="18" spans="3:13" ht="15" thickBot="1" x14ac:dyDescent="0.35">
      <c r="C18" s="92"/>
      <c r="D18" s="89"/>
      <c r="E18" s="78" t="s">
        <v>81</v>
      </c>
      <c r="F18" s="5"/>
      <c r="G18" s="5" t="s">
        <v>82</v>
      </c>
      <c r="H18" s="5"/>
      <c r="I18" s="5" t="s">
        <v>85</v>
      </c>
      <c r="J18" s="5"/>
      <c r="K18" s="5"/>
      <c r="L18" s="5"/>
      <c r="M18" s="79"/>
    </row>
    <row r="19" spans="3:13" ht="15" thickBot="1" x14ac:dyDescent="0.35">
      <c r="C19" s="92"/>
      <c r="D19" s="89"/>
      <c r="E19" s="78" t="s">
        <v>83</v>
      </c>
      <c r="F19" s="5"/>
      <c r="G19" s="5" t="s">
        <v>98</v>
      </c>
      <c r="H19" s="5"/>
      <c r="I19" s="5"/>
      <c r="J19" s="5"/>
      <c r="K19" s="5"/>
      <c r="L19" s="5"/>
      <c r="M19" s="79"/>
    </row>
    <row r="20" spans="3:13" ht="15" thickBot="1" x14ac:dyDescent="0.35">
      <c r="C20" s="92"/>
      <c r="D20" s="89"/>
      <c r="E20" s="78" t="s">
        <v>84</v>
      </c>
      <c r="F20" s="5"/>
      <c r="G20" s="5"/>
      <c r="H20" s="5"/>
      <c r="I20" s="5"/>
      <c r="J20" s="5"/>
      <c r="K20" s="5"/>
      <c r="L20" s="5"/>
      <c r="M20" s="79"/>
    </row>
    <row r="21" spans="3:13" ht="15" thickBot="1" x14ac:dyDescent="0.35">
      <c r="C21" s="93"/>
      <c r="D21" s="90"/>
      <c r="E21" s="80" t="s">
        <v>96</v>
      </c>
      <c r="F21" s="81"/>
      <c r="G21" s="81"/>
      <c r="H21" s="81"/>
      <c r="I21" s="81"/>
      <c r="J21" s="81"/>
      <c r="K21" s="81"/>
      <c r="L21" s="81"/>
      <c r="M21" s="82"/>
    </row>
    <row r="22" spans="3:13" ht="15" thickBot="1" x14ac:dyDescent="0.35">
      <c r="C22" s="85" t="s">
        <v>244</v>
      </c>
      <c r="D22" s="88" t="s">
        <v>88</v>
      </c>
      <c r="E22" s="75"/>
      <c r="F22" s="76"/>
      <c r="G22" s="76"/>
      <c r="H22" s="76"/>
      <c r="I22" s="76"/>
      <c r="J22" s="76"/>
      <c r="K22" s="76"/>
      <c r="L22" s="76"/>
      <c r="M22" s="77"/>
    </row>
    <row r="23" spans="3:13" ht="15" thickBot="1" x14ac:dyDescent="0.35">
      <c r="C23" s="86"/>
      <c r="D23" s="89"/>
      <c r="E23" s="78" t="s">
        <v>89</v>
      </c>
      <c r="F23" s="5"/>
      <c r="G23" s="5" t="s">
        <v>90</v>
      </c>
      <c r="H23" s="5"/>
      <c r="I23" s="5" t="s">
        <v>93</v>
      </c>
      <c r="J23" s="5"/>
      <c r="K23" s="5" t="s">
        <v>92</v>
      </c>
      <c r="L23" s="5"/>
      <c r="M23" s="79" t="s">
        <v>94</v>
      </c>
    </row>
    <row r="24" spans="3:13" ht="16.8" customHeight="1" thickBot="1" x14ac:dyDescent="0.35">
      <c r="C24" s="87"/>
      <c r="D24" s="90"/>
      <c r="E24" s="80" t="s">
        <v>95</v>
      </c>
      <c r="F24" s="81"/>
      <c r="G24" s="81" t="s">
        <v>91</v>
      </c>
      <c r="H24" s="81"/>
      <c r="I24" s="81" t="s">
        <v>280</v>
      </c>
      <c r="J24" s="81"/>
      <c r="K24" s="81"/>
      <c r="L24" s="81"/>
      <c r="M24" s="82"/>
    </row>
  </sheetData>
  <mergeCells count="13">
    <mergeCell ref="C22:C24"/>
    <mergeCell ref="D22:D24"/>
    <mergeCell ref="C2:C4"/>
    <mergeCell ref="D3:D4"/>
    <mergeCell ref="C5:C11"/>
    <mergeCell ref="D5:D7"/>
    <mergeCell ref="D8:D9"/>
    <mergeCell ref="D10:D11"/>
    <mergeCell ref="C12:C14"/>
    <mergeCell ref="D12:D14"/>
    <mergeCell ref="C15:C21"/>
    <mergeCell ref="D15:D16"/>
    <mergeCell ref="D17:D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4B5F5-D088-47C9-8E6B-17DA23930420}">
  <dimension ref="A2:G11"/>
  <sheetViews>
    <sheetView showGridLines="0" zoomScale="220" zoomScaleNormal="220" workbookViewId="0">
      <selection activeCell="B2" sqref="B2"/>
    </sheetView>
  </sheetViews>
  <sheetFormatPr defaultRowHeight="14.4" x14ac:dyDescent="0.3"/>
  <cols>
    <col min="1" max="1" width="5.109375" customWidth="1"/>
  </cols>
  <sheetData>
    <row r="2" spans="1:7" x14ac:dyDescent="0.3">
      <c r="A2">
        <v>1</v>
      </c>
      <c r="B2" t="s">
        <v>51</v>
      </c>
      <c r="G2" t="s">
        <v>61</v>
      </c>
    </row>
    <row r="3" spans="1:7" x14ac:dyDescent="0.3">
      <c r="A3">
        <v>2</v>
      </c>
      <c r="B3" t="s">
        <v>52</v>
      </c>
    </row>
    <row r="4" spans="1:7" x14ac:dyDescent="0.3">
      <c r="A4">
        <v>3</v>
      </c>
      <c r="B4" t="s">
        <v>53</v>
      </c>
    </row>
    <row r="5" spans="1:7" x14ac:dyDescent="0.3">
      <c r="A5">
        <v>4</v>
      </c>
      <c r="B5" t="s">
        <v>54</v>
      </c>
    </row>
    <row r="6" spans="1:7" x14ac:dyDescent="0.3">
      <c r="A6">
        <v>5</v>
      </c>
      <c r="B6" t="s">
        <v>55</v>
      </c>
    </row>
    <row r="7" spans="1:7" x14ac:dyDescent="0.3">
      <c r="A7">
        <v>6</v>
      </c>
      <c r="B7" t="s">
        <v>56</v>
      </c>
    </row>
    <row r="8" spans="1:7" x14ac:dyDescent="0.3">
      <c r="A8">
        <v>7</v>
      </c>
      <c r="B8" t="s">
        <v>57</v>
      </c>
    </row>
    <row r="9" spans="1:7" x14ac:dyDescent="0.3">
      <c r="C9" t="s">
        <v>58</v>
      </c>
    </row>
    <row r="10" spans="1:7" x14ac:dyDescent="0.3">
      <c r="C10" t="s">
        <v>59</v>
      </c>
    </row>
    <row r="11" spans="1:7" x14ac:dyDescent="0.3">
      <c r="A11">
        <v>8</v>
      </c>
      <c r="B11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5549-B12B-4968-9ED8-C7AE8B883C37}">
  <dimension ref="C1:M24"/>
  <sheetViews>
    <sheetView showGridLines="0" zoomScaleNormal="100" workbookViewId="0">
      <selection activeCell="E18" sqref="E18"/>
    </sheetView>
  </sheetViews>
  <sheetFormatPr defaultRowHeight="14.4" x14ac:dyDescent="0.3"/>
  <cols>
    <col min="1" max="1" width="4.88671875" customWidth="1"/>
    <col min="2" max="2" width="17.77734375" bestFit="1" customWidth="1"/>
    <col min="3" max="3" width="7.5546875" customWidth="1"/>
    <col min="4" max="4" width="17.88671875" bestFit="1" customWidth="1"/>
    <col min="5" max="5" width="14.21875" bestFit="1" customWidth="1"/>
    <col min="6" max="6" width="1.6640625" customWidth="1"/>
    <col min="7" max="7" width="22.88671875" bestFit="1" customWidth="1"/>
    <col min="8" max="8" width="2.5546875" customWidth="1"/>
    <col min="9" max="9" width="18.109375" bestFit="1" customWidth="1"/>
    <col min="10" max="10" width="2.33203125" customWidth="1"/>
    <col min="11" max="11" width="16.88671875" bestFit="1" customWidth="1"/>
    <col min="12" max="12" width="1.77734375" customWidth="1"/>
    <col min="13" max="13" width="12.21875" bestFit="1" customWidth="1"/>
  </cols>
  <sheetData>
    <row r="1" spans="3:13" ht="15" thickBot="1" x14ac:dyDescent="0.35"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3:13" ht="15" thickBot="1" x14ac:dyDescent="0.35">
      <c r="C2" s="85" t="s">
        <v>242</v>
      </c>
      <c r="D2" s="45" t="s">
        <v>63</v>
      </c>
      <c r="E2" s="7"/>
      <c r="F2" s="7"/>
      <c r="G2" s="7"/>
      <c r="H2" s="7"/>
      <c r="I2" s="7"/>
      <c r="J2" s="7"/>
      <c r="K2" s="7"/>
      <c r="L2" s="7"/>
      <c r="M2" s="35"/>
    </row>
    <row r="3" spans="3:13" ht="15" thickBot="1" x14ac:dyDescent="0.35">
      <c r="C3" s="86"/>
      <c r="D3" s="96" t="s">
        <v>64</v>
      </c>
      <c r="E3" s="46" t="s">
        <v>104</v>
      </c>
      <c r="F3" s="8"/>
      <c r="G3" s="8" t="s">
        <v>105</v>
      </c>
      <c r="H3" s="8"/>
      <c r="I3" s="47" t="s">
        <v>106</v>
      </c>
      <c r="J3" s="8"/>
      <c r="K3" s="8"/>
      <c r="L3" s="8"/>
      <c r="M3" s="36"/>
    </row>
    <row r="4" spans="3:13" ht="15" thickBot="1" x14ac:dyDescent="0.35">
      <c r="C4" s="87"/>
      <c r="D4" s="97"/>
      <c r="E4" s="48" t="s">
        <v>107</v>
      </c>
      <c r="F4" s="9"/>
      <c r="G4" s="49" t="s">
        <v>108</v>
      </c>
      <c r="H4" s="9"/>
      <c r="I4" s="49" t="s">
        <v>109</v>
      </c>
      <c r="J4" s="9"/>
      <c r="K4" s="9"/>
      <c r="L4" s="9"/>
      <c r="M4" s="37"/>
    </row>
    <row r="5" spans="3:13" ht="12" customHeight="1" x14ac:dyDescent="0.3">
      <c r="C5" s="91" t="s">
        <v>243</v>
      </c>
      <c r="D5" s="98" t="s">
        <v>66</v>
      </c>
      <c r="E5" s="42"/>
      <c r="F5" s="43"/>
      <c r="G5" s="43"/>
      <c r="H5" s="43"/>
      <c r="I5" s="43"/>
      <c r="K5" s="43"/>
      <c r="L5" s="43"/>
      <c r="M5" s="44"/>
    </row>
    <row r="6" spans="3:13" ht="15" customHeight="1" thickBot="1" x14ac:dyDescent="0.35">
      <c r="C6" s="92"/>
      <c r="D6" s="99"/>
      <c r="E6" s="50" t="s">
        <v>99</v>
      </c>
      <c r="F6" s="6"/>
      <c r="G6" s="51" t="s">
        <v>112</v>
      </c>
      <c r="H6" s="6"/>
      <c r="I6" s="1" t="s">
        <v>245</v>
      </c>
      <c r="K6" s="51" t="s">
        <v>101</v>
      </c>
      <c r="L6" s="6"/>
      <c r="M6" s="51" t="s">
        <v>100</v>
      </c>
    </row>
    <row r="7" spans="3:13" ht="15" thickBot="1" x14ac:dyDescent="0.35">
      <c r="C7" s="92"/>
      <c r="D7" s="100"/>
      <c r="E7" s="11" t="s">
        <v>102</v>
      </c>
      <c r="F7" s="9"/>
      <c r="G7" s="9" t="s">
        <v>103</v>
      </c>
      <c r="H7" s="9"/>
      <c r="I7" s="9" t="s">
        <v>116</v>
      </c>
      <c r="J7" s="9"/>
      <c r="K7" s="9"/>
      <c r="L7" s="9"/>
      <c r="M7" s="37"/>
    </row>
    <row r="8" spans="3:13" x14ac:dyDescent="0.3">
      <c r="C8" s="92"/>
      <c r="D8" s="101" t="s">
        <v>113</v>
      </c>
      <c r="M8" s="34"/>
    </row>
    <row r="9" spans="3:13" ht="14.4" customHeight="1" thickBot="1" x14ac:dyDescent="0.35">
      <c r="C9" s="92"/>
      <c r="D9" s="102"/>
      <c r="E9" s="13" t="s">
        <v>113</v>
      </c>
      <c r="F9" s="10"/>
      <c r="G9" s="10" t="s">
        <v>114</v>
      </c>
      <c r="H9" s="10"/>
      <c r="I9" s="10" t="s">
        <v>115</v>
      </c>
      <c r="J9" s="10"/>
      <c r="K9" s="10"/>
      <c r="L9" s="10"/>
      <c r="M9" s="39"/>
    </row>
    <row r="10" spans="3:13" ht="15" thickBot="1" x14ac:dyDescent="0.35">
      <c r="C10" s="92"/>
      <c r="D10" s="98" t="s">
        <v>65</v>
      </c>
      <c r="E10" s="12"/>
      <c r="F10" s="6"/>
      <c r="G10" s="6"/>
      <c r="H10" s="6"/>
      <c r="I10" s="6"/>
      <c r="J10" s="6"/>
      <c r="K10" s="6"/>
      <c r="L10" s="6"/>
      <c r="M10" s="38"/>
    </row>
    <row r="11" spans="3:13" ht="15" thickBot="1" x14ac:dyDescent="0.35">
      <c r="C11" s="93"/>
      <c r="D11" s="102"/>
      <c r="E11" s="48" t="s">
        <v>62</v>
      </c>
      <c r="F11" s="9"/>
      <c r="G11" s="49" t="s">
        <v>77</v>
      </c>
      <c r="H11" s="9"/>
      <c r="I11" s="49" t="s">
        <v>78</v>
      </c>
      <c r="J11" s="9"/>
      <c r="K11" s="9" t="s">
        <v>79</v>
      </c>
      <c r="L11" s="9"/>
      <c r="M11" s="37" t="s">
        <v>80</v>
      </c>
    </row>
    <row r="12" spans="3:13" ht="15" thickBot="1" x14ac:dyDescent="0.35">
      <c r="C12" s="91" t="s">
        <v>241</v>
      </c>
      <c r="D12" s="98" t="s">
        <v>67</v>
      </c>
      <c r="E12" s="12"/>
      <c r="F12" s="6"/>
      <c r="G12" s="6"/>
      <c r="H12" s="6"/>
      <c r="I12" s="6"/>
      <c r="J12" s="6"/>
      <c r="K12" s="6"/>
      <c r="L12" s="6"/>
      <c r="M12" s="38"/>
    </row>
    <row r="13" spans="3:13" ht="15" thickBot="1" x14ac:dyDescent="0.35">
      <c r="C13" s="92"/>
      <c r="D13" s="99"/>
      <c r="E13" s="56" t="s">
        <v>68</v>
      </c>
      <c r="F13" s="5"/>
      <c r="G13" s="56" t="s">
        <v>69</v>
      </c>
      <c r="H13" s="5"/>
      <c r="I13" s="56" t="s">
        <v>110</v>
      </c>
      <c r="J13" s="5"/>
      <c r="K13" s="56" t="s">
        <v>70</v>
      </c>
      <c r="L13" s="5"/>
      <c r="M13" s="56" t="s">
        <v>71</v>
      </c>
    </row>
    <row r="14" spans="3:13" ht="15" thickBot="1" x14ac:dyDescent="0.35">
      <c r="C14" s="93"/>
      <c r="D14" s="102"/>
      <c r="E14" s="56" t="s">
        <v>87</v>
      </c>
      <c r="F14" s="9"/>
      <c r="G14" s="56" t="s">
        <v>111</v>
      </c>
      <c r="H14" s="9"/>
      <c r="I14" s="9"/>
      <c r="J14" s="9"/>
      <c r="K14" s="9"/>
      <c r="L14" s="9"/>
      <c r="M14" s="37"/>
    </row>
    <row r="15" spans="3:13" ht="15" thickBot="1" x14ac:dyDescent="0.35">
      <c r="C15" s="91" t="s">
        <v>240</v>
      </c>
      <c r="D15" s="98" t="s">
        <v>72</v>
      </c>
      <c r="E15" s="12"/>
      <c r="F15" s="6"/>
      <c r="G15" s="6"/>
      <c r="H15" s="6"/>
      <c r="I15" s="6"/>
      <c r="J15" s="6"/>
      <c r="K15" s="6"/>
      <c r="L15" s="6"/>
      <c r="M15" s="38"/>
    </row>
    <row r="16" spans="3:13" ht="15" thickBot="1" x14ac:dyDescent="0.35">
      <c r="C16" s="92"/>
      <c r="D16" s="102"/>
      <c r="E16" s="56" t="s">
        <v>73</v>
      </c>
      <c r="F16" s="9"/>
      <c r="G16" s="56" t="s">
        <v>74</v>
      </c>
      <c r="H16" s="9"/>
      <c r="I16" s="49" t="s">
        <v>75</v>
      </c>
      <c r="J16" s="9"/>
      <c r="K16" s="56" t="s">
        <v>86</v>
      </c>
      <c r="L16" s="9"/>
      <c r="M16" s="57" t="s">
        <v>76</v>
      </c>
    </row>
    <row r="17" spans="3:13" ht="15" thickBot="1" x14ac:dyDescent="0.35">
      <c r="C17" s="92"/>
      <c r="D17" s="98" t="s">
        <v>97</v>
      </c>
      <c r="E17" s="12"/>
      <c r="F17" s="6"/>
      <c r="G17" s="6"/>
      <c r="H17" s="6"/>
      <c r="I17" s="6"/>
      <c r="J17" s="6"/>
      <c r="K17" s="6"/>
      <c r="L17" s="6"/>
      <c r="M17" s="38"/>
    </row>
    <row r="18" spans="3:13" ht="15" thickBot="1" x14ac:dyDescent="0.35">
      <c r="C18" s="92"/>
      <c r="D18" s="99"/>
      <c r="E18" s="14" t="s">
        <v>81</v>
      </c>
      <c r="F18" s="5"/>
      <c r="G18" s="5" t="s">
        <v>82</v>
      </c>
      <c r="H18" s="5"/>
      <c r="I18" s="5" t="s">
        <v>85</v>
      </c>
      <c r="J18" s="5"/>
      <c r="K18" s="5"/>
      <c r="L18" s="5"/>
      <c r="M18" s="40"/>
    </row>
    <row r="19" spans="3:13" ht="15" thickBot="1" x14ac:dyDescent="0.35">
      <c r="C19" s="92"/>
      <c r="D19" s="99"/>
      <c r="E19" s="14" t="s">
        <v>83</v>
      </c>
      <c r="F19" s="5"/>
      <c r="G19" s="5" t="s">
        <v>98</v>
      </c>
      <c r="H19" s="5"/>
      <c r="I19" s="5"/>
      <c r="J19" s="5"/>
      <c r="K19" s="5"/>
      <c r="L19" s="5"/>
      <c r="M19" s="40"/>
    </row>
    <row r="20" spans="3:13" ht="15" thickBot="1" x14ac:dyDescent="0.35">
      <c r="C20" s="92"/>
      <c r="D20" s="99"/>
      <c r="E20" s="14" t="s">
        <v>84</v>
      </c>
      <c r="F20" s="5"/>
      <c r="G20" s="5"/>
      <c r="H20" s="5"/>
      <c r="I20" s="5"/>
      <c r="J20" s="5"/>
      <c r="K20" s="5"/>
      <c r="L20" s="5"/>
      <c r="M20" s="40"/>
    </row>
    <row r="21" spans="3:13" ht="15" thickBot="1" x14ac:dyDescent="0.35">
      <c r="C21" s="93"/>
      <c r="D21" s="102"/>
      <c r="E21" s="11" t="s">
        <v>96</v>
      </c>
      <c r="F21" s="9"/>
      <c r="G21" s="9"/>
      <c r="H21" s="9"/>
      <c r="I21" s="9"/>
      <c r="J21" s="9"/>
      <c r="K21" s="9"/>
      <c r="L21" s="9"/>
      <c r="M21" s="37"/>
    </row>
    <row r="22" spans="3:13" ht="15" thickBot="1" x14ac:dyDescent="0.35">
      <c r="C22" s="85" t="s">
        <v>244</v>
      </c>
      <c r="D22" s="98" t="s">
        <v>88</v>
      </c>
      <c r="E22" s="12"/>
      <c r="F22" s="6"/>
      <c r="G22" s="6"/>
      <c r="H22" s="6"/>
      <c r="I22" s="6"/>
      <c r="J22" s="6"/>
      <c r="K22" s="6"/>
      <c r="L22" s="6"/>
      <c r="M22" s="38"/>
    </row>
    <row r="23" spans="3:13" ht="15" thickBot="1" x14ac:dyDescent="0.35">
      <c r="C23" s="86"/>
      <c r="D23" s="99"/>
      <c r="E23" s="14" t="s">
        <v>89</v>
      </c>
      <c r="F23" s="5"/>
      <c r="G23" s="5" t="s">
        <v>90</v>
      </c>
      <c r="H23" s="5"/>
      <c r="I23" s="5" t="s">
        <v>93</v>
      </c>
      <c r="J23" s="5"/>
      <c r="K23" s="5" t="s">
        <v>92</v>
      </c>
      <c r="L23" s="5"/>
      <c r="M23" s="40" t="s">
        <v>94</v>
      </c>
    </row>
    <row r="24" spans="3:13" ht="16.8" customHeight="1" thickBot="1" x14ac:dyDescent="0.35">
      <c r="C24" s="87"/>
      <c r="D24" s="102"/>
      <c r="E24" s="11" t="s">
        <v>95</v>
      </c>
      <c r="F24" s="9"/>
      <c r="G24" s="9" t="s">
        <v>91</v>
      </c>
      <c r="H24" s="9"/>
      <c r="I24" s="9"/>
      <c r="J24" s="9"/>
      <c r="K24" s="9"/>
      <c r="L24" s="9"/>
      <c r="M24" s="37"/>
    </row>
  </sheetData>
  <mergeCells count="13">
    <mergeCell ref="D12:D14"/>
    <mergeCell ref="D15:D16"/>
    <mergeCell ref="D17:D21"/>
    <mergeCell ref="D22:D24"/>
    <mergeCell ref="C15:C21"/>
    <mergeCell ref="C12:C14"/>
    <mergeCell ref="C22:C24"/>
    <mergeCell ref="C2:C4"/>
    <mergeCell ref="D3:D4"/>
    <mergeCell ref="C5:C11"/>
    <mergeCell ref="D5:D7"/>
    <mergeCell ref="D8:D9"/>
    <mergeCell ref="D10:D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F4048-7869-4ACA-96C1-0F36C0DA2BC0}">
  <dimension ref="E4:G8"/>
  <sheetViews>
    <sheetView zoomScale="160" zoomScaleNormal="160" workbookViewId="0">
      <selection activeCell="G11" sqref="G11"/>
    </sheetView>
  </sheetViews>
  <sheetFormatPr defaultRowHeight="14.4" x14ac:dyDescent="0.3"/>
  <cols>
    <col min="7" max="7" width="15.21875" customWidth="1"/>
  </cols>
  <sheetData>
    <row r="4" spans="5:7" x14ac:dyDescent="0.3">
      <c r="E4" t="s">
        <v>118</v>
      </c>
      <c r="F4" t="s">
        <v>278</v>
      </c>
      <c r="G4" t="s">
        <v>279</v>
      </c>
    </row>
    <row r="5" spans="5:7" x14ac:dyDescent="0.3">
      <c r="E5">
        <v>2011</v>
      </c>
      <c r="F5">
        <v>20</v>
      </c>
      <c r="G5">
        <v>20</v>
      </c>
    </row>
    <row r="6" spans="5:7" x14ac:dyDescent="0.3">
      <c r="E6">
        <v>2012</v>
      </c>
      <c r="F6">
        <v>30</v>
      </c>
      <c r="G6">
        <f xml:space="preserve"> F6+G5</f>
        <v>50</v>
      </c>
    </row>
    <row r="7" spans="5:7" x14ac:dyDescent="0.3">
      <c r="E7">
        <v>2013</v>
      </c>
      <c r="F7">
        <v>15</v>
      </c>
      <c r="G7">
        <f t="shared" ref="G7:G8" si="0" xml:space="preserve"> F7+G6</f>
        <v>65</v>
      </c>
    </row>
    <row r="8" spans="5:7" x14ac:dyDescent="0.3">
      <c r="E8">
        <v>2014</v>
      </c>
      <c r="F8">
        <v>35</v>
      </c>
      <c r="G8">
        <f t="shared" si="0"/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71F2-64F2-4802-BC42-8F15D1F384D6}">
  <dimension ref="D2:I12"/>
  <sheetViews>
    <sheetView showGridLines="0" zoomScale="175" zoomScaleNormal="175" workbookViewId="0">
      <selection activeCell="E14" sqref="E14"/>
    </sheetView>
  </sheetViews>
  <sheetFormatPr defaultRowHeight="14.4" x14ac:dyDescent="0.3"/>
  <cols>
    <col min="4" max="5" width="8.88671875" style="15"/>
    <col min="6" max="6" width="9.77734375" style="15" bestFit="1" customWidth="1"/>
    <col min="8" max="8" width="11.109375" style="15" customWidth="1"/>
  </cols>
  <sheetData>
    <row r="2" spans="4:9" x14ac:dyDescent="0.3">
      <c r="H2" s="15" t="s">
        <v>117</v>
      </c>
    </row>
    <row r="4" spans="4:9" x14ac:dyDescent="0.3">
      <c r="D4" s="16" t="s">
        <v>118</v>
      </c>
      <c r="E4" s="16" t="s">
        <v>119</v>
      </c>
      <c r="F4" s="16" t="s">
        <v>120</v>
      </c>
      <c r="H4" s="16" t="s">
        <v>119</v>
      </c>
      <c r="I4" s="16" t="s">
        <v>120</v>
      </c>
    </row>
    <row r="5" spans="4:9" x14ac:dyDescent="0.3">
      <c r="D5" s="16">
        <v>2017</v>
      </c>
      <c r="E5" s="16" t="s">
        <v>122</v>
      </c>
      <c r="F5" s="16">
        <v>100</v>
      </c>
      <c r="H5" s="16" t="s">
        <v>121</v>
      </c>
      <c r="I5" s="4">
        <v>700</v>
      </c>
    </row>
    <row r="6" spans="4:9" x14ac:dyDescent="0.3">
      <c r="D6" s="16">
        <v>2018</v>
      </c>
      <c r="E6" s="16" t="s">
        <v>122</v>
      </c>
      <c r="F6" s="16">
        <v>120</v>
      </c>
      <c r="H6" s="16" t="s">
        <v>122</v>
      </c>
      <c r="I6" s="4">
        <v>220</v>
      </c>
    </row>
    <row r="7" spans="4:9" x14ac:dyDescent="0.3">
      <c r="D7" s="16">
        <v>2017</v>
      </c>
      <c r="E7" s="16" t="s">
        <v>123</v>
      </c>
      <c r="F7" s="16">
        <v>50</v>
      </c>
      <c r="H7" s="16" t="s">
        <v>123</v>
      </c>
      <c r="I7" s="4">
        <v>100</v>
      </c>
    </row>
    <row r="8" spans="4:9" x14ac:dyDescent="0.3">
      <c r="D8" s="16">
        <v>2018</v>
      </c>
      <c r="E8" s="16" t="s">
        <v>123</v>
      </c>
      <c r="F8" s="16">
        <v>50</v>
      </c>
    </row>
    <row r="9" spans="4:9" x14ac:dyDescent="0.3">
      <c r="D9" s="16">
        <v>2017</v>
      </c>
      <c r="E9" s="16" t="s">
        <v>121</v>
      </c>
      <c r="F9" s="16">
        <v>200</v>
      </c>
      <c r="H9" s="15" t="s">
        <v>124</v>
      </c>
    </row>
    <row r="10" spans="4:9" x14ac:dyDescent="0.3">
      <c r="D10" s="16">
        <v>2018</v>
      </c>
      <c r="E10" s="16" t="s">
        <v>121</v>
      </c>
      <c r="F10" s="16">
        <v>500</v>
      </c>
    </row>
    <row r="11" spans="4:9" x14ac:dyDescent="0.3">
      <c r="H11" s="17">
        <v>2017</v>
      </c>
      <c r="I11" s="4">
        <v>350</v>
      </c>
    </row>
    <row r="12" spans="4:9" x14ac:dyDescent="0.3">
      <c r="H12" s="17">
        <v>2018</v>
      </c>
      <c r="I12" s="4">
        <v>670</v>
      </c>
    </row>
  </sheetData>
  <sortState xmlns:xlrd2="http://schemas.microsoft.com/office/spreadsheetml/2017/richdata2" ref="D5:F10">
    <sortCondition ref="E5:E1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3C5C1-3F7A-4704-BD06-98E38BB5C900}">
  <dimension ref="A1"/>
  <sheetViews>
    <sheetView showGridLines="0" zoomScaleNormal="100" workbookViewId="0">
      <selection activeCell="P24" sqref="P24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D103A-4514-48B0-8364-2A2ADEEC5DC4}">
  <dimension ref="E3:K15"/>
  <sheetViews>
    <sheetView showGridLines="0" zoomScale="140" zoomScaleNormal="140" workbookViewId="0">
      <selection activeCell="K15" sqref="K15"/>
    </sheetView>
  </sheetViews>
  <sheetFormatPr defaultRowHeight="14.4" x14ac:dyDescent="0.3"/>
  <cols>
    <col min="5" max="5" width="11.109375" customWidth="1"/>
    <col min="7" max="7" width="11.109375" customWidth="1"/>
  </cols>
  <sheetData>
    <row r="3" spans="5:11" x14ac:dyDescent="0.3">
      <c r="E3" s="18" t="s">
        <v>125</v>
      </c>
      <c r="G3" s="18" t="s">
        <v>126</v>
      </c>
      <c r="J3" s="1" t="s">
        <v>127</v>
      </c>
      <c r="K3" t="s">
        <v>128</v>
      </c>
    </row>
    <row r="5" spans="5:11" x14ac:dyDescent="0.3">
      <c r="E5" s="4">
        <v>1</v>
      </c>
      <c r="G5" s="4">
        <v>1</v>
      </c>
    </row>
    <row r="6" spans="5:11" x14ac:dyDescent="0.3">
      <c r="E6" s="4">
        <v>2</v>
      </c>
      <c r="G6" s="4">
        <v>2</v>
      </c>
    </row>
    <row r="7" spans="5:11" x14ac:dyDescent="0.3">
      <c r="E7" s="4">
        <v>3</v>
      </c>
      <c r="G7" s="4">
        <v>3</v>
      </c>
    </row>
    <row r="8" spans="5:11" x14ac:dyDescent="0.3">
      <c r="E8" s="4"/>
      <c r="G8" s="4">
        <v>4</v>
      </c>
    </row>
    <row r="9" spans="5:11" x14ac:dyDescent="0.3">
      <c r="E9" s="4"/>
      <c r="G9" s="4"/>
    </row>
    <row r="10" spans="5:11" x14ac:dyDescent="0.3">
      <c r="E10" s="4">
        <v>4</v>
      </c>
      <c r="G10" s="4"/>
    </row>
    <row r="11" spans="5:11" x14ac:dyDescent="0.3">
      <c r="E11" s="4">
        <v>8</v>
      </c>
      <c r="G11" s="4">
        <v>8</v>
      </c>
    </row>
    <row r="12" spans="5:11" x14ac:dyDescent="0.3">
      <c r="E12" s="4"/>
      <c r="G12" s="4">
        <v>6</v>
      </c>
    </row>
    <row r="13" spans="5:11" x14ac:dyDescent="0.3">
      <c r="E13" s="4"/>
      <c r="G13" s="4"/>
    </row>
    <row r="14" spans="5:11" x14ac:dyDescent="0.3">
      <c r="E14" s="4"/>
      <c r="G14" s="4"/>
    </row>
    <row r="15" spans="5:11" x14ac:dyDescent="0.3">
      <c r="E15" s="4">
        <v>6</v>
      </c>
      <c r="G15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56169-F669-4991-BD15-B51872ADB285}">
  <dimension ref="B2:L16"/>
  <sheetViews>
    <sheetView showGridLines="0" topLeftCell="D1" zoomScale="160" zoomScaleNormal="160" workbookViewId="0">
      <selection activeCell="D11" sqref="D11"/>
    </sheetView>
  </sheetViews>
  <sheetFormatPr defaultRowHeight="14.4" x14ac:dyDescent="0.3"/>
  <cols>
    <col min="1" max="1" width="6.5546875" customWidth="1"/>
    <col min="3" max="3" width="13.33203125" customWidth="1"/>
    <col min="4" max="4" width="8.88671875" style="19"/>
    <col min="6" max="6" width="12.33203125" style="19" bestFit="1" customWidth="1"/>
    <col min="8" max="8" width="22.77734375" style="15" bestFit="1" customWidth="1"/>
    <col min="9" max="9" width="31.21875" style="15" bestFit="1" customWidth="1"/>
    <col min="10" max="10" width="4.109375" style="15" customWidth="1"/>
  </cols>
  <sheetData>
    <row r="2" spans="2:12" x14ac:dyDescent="0.3">
      <c r="H2" s="15" t="s">
        <v>129</v>
      </c>
    </row>
    <row r="4" spans="2:12" x14ac:dyDescent="0.3">
      <c r="D4" s="20" t="s">
        <v>130</v>
      </c>
      <c r="E4" s="21"/>
      <c r="F4" s="20" t="s">
        <v>131</v>
      </c>
      <c r="H4" s="15" t="s">
        <v>132</v>
      </c>
      <c r="I4" s="15" t="s">
        <v>133</v>
      </c>
      <c r="J4" s="15" t="s">
        <v>134</v>
      </c>
    </row>
    <row r="5" spans="2:12" x14ac:dyDescent="0.3">
      <c r="D5" s="22"/>
      <c r="F5" s="22"/>
      <c r="H5" s="23"/>
    </row>
    <row r="6" spans="2:12" x14ac:dyDescent="0.3">
      <c r="D6" s="24" t="s">
        <v>135</v>
      </c>
      <c r="F6" s="24" t="s">
        <v>135</v>
      </c>
      <c r="H6" s="25" t="s">
        <v>268</v>
      </c>
      <c r="I6" s="15">
        <v>1</v>
      </c>
      <c r="J6" s="15">
        <v>1</v>
      </c>
    </row>
    <row r="7" spans="2:12" x14ac:dyDescent="0.3">
      <c r="D7" s="22">
        <v>1</v>
      </c>
      <c r="F7" s="22">
        <v>1</v>
      </c>
      <c r="H7" s="3" t="s">
        <v>269</v>
      </c>
      <c r="I7" s="15" t="s">
        <v>136</v>
      </c>
      <c r="J7" s="15">
        <v>1</v>
      </c>
    </row>
    <row r="8" spans="2:12" x14ac:dyDescent="0.3">
      <c r="D8" s="22">
        <v>2</v>
      </c>
      <c r="F8" s="22">
        <v>2</v>
      </c>
      <c r="H8" s="25" t="s">
        <v>270</v>
      </c>
      <c r="I8" s="15">
        <v>1</v>
      </c>
      <c r="J8" s="15" t="s">
        <v>136</v>
      </c>
    </row>
    <row r="9" spans="2:12" x14ac:dyDescent="0.3">
      <c r="D9" s="22">
        <v>3</v>
      </c>
      <c r="F9" s="26">
        <v>3</v>
      </c>
      <c r="H9" s="3" t="s">
        <v>271</v>
      </c>
      <c r="I9" s="15" t="s">
        <v>136</v>
      </c>
      <c r="J9" s="15" t="s">
        <v>136</v>
      </c>
    </row>
    <row r="10" spans="2:12" x14ac:dyDescent="0.3">
      <c r="D10" s="22">
        <v>2</v>
      </c>
    </row>
    <row r="11" spans="2:12" x14ac:dyDescent="0.3">
      <c r="D11" s="22">
        <v>2</v>
      </c>
    </row>
    <row r="12" spans="2:12" x14ac:dyDescent="0.3">
      <c r="D12" s="22">
        <v>1</v>
      </c>
      <c r="I12" s="15" t="s">
        <v>272</v>
      </c>
      <c r="K12" s="15" t="s">
        <v>273</v>
      </c>
    </row>
    <row r="13" spans="2:12" x14ac:dyDescent="0.3">
      <c r="D13" s="26">
        <v>2</v>
      </c>
      <c r="H13" s="25" t="s">
        <v>268</v>
      </c>
      <c r="I13" s="103" t="s">
        <v>274</v>
      </c>
      <c r="J13" s="103"/>
      <c r="K13" s="103"/>
      <c r="L13" s="103"/>
    </row>
    <row r="14" spans="2:12" x14ac:dyDescent="0.3">
      <c r="H14" s="3" t="s">
        <v>269</v>
      </c>
      <c r="I14" s="103" t="s">
        <v>275</v>
      </c>
      <c r="J14" s="103"/>
      <c r="K14" s="103"/>
      <c r="L14" s="103"/>
    </row>
    <row r="15" spans="2:12" x14ac:dyDescent="0.3">
      <c r="B15" s="103" t="s">
        <v>137</v>
      </c>
      <c r="C15" s="103"/>
      <c r="D15" s="18" t="s">
        <v>267</v>
      </c>
      <c r="F15" s="18">
        <v>1</v>
      </c>
      <c r="H15" s="25" t="s">
        <v>270</v>
      </c>
      <c r="I15" s="103" t="s">
        <v>276</v>
      </c>
      <c r="J15" s="103"/>
      <c r="K15" s="103"/>
      <c r="L15" s="103"/>
    </row>
    <row r="16" spans="2:12" x14ac:dyDescent="0.3">
      <c r="H16" s="3" t="s">
        <v>271</v>
      </c>
      <c r="I16" s="103" t="s">
        <v>277</v>
      </c>
      <c r="J16" s="103"/>
      <c r="K16" s="103"/>
      <c r="L16" s="103"/>
    </row>
  </sheetData>
  <mergeCells count="5">
    <mergeCell ref="B15:C15"/>
    <mergeCell ref="I13:L13"/>
    <mergeCell ref="I14:L14"/>
    <mergeCell ref="I15:L15"/>
    <mergeCell ref="I16:L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8DFD-07EF-418F-9F7F-4CF7652A00E5}">
  <sheetPr codeName="Sheet1"/>
  <dimension ref="P2:W27"/>
  <sheetViews>
    <sheetView showGridLines="0" zoomScaleNormal="100" workbookViewId="0">
      <selection activeCell="H2" sqref="H2"/>
    </sheetView>
  </sheetViews>
  <sheetFormatPr defaultRowHeight="14.4" x14ac:dyDescent="0.3"/>
  <cols>
    <col min="2" max="2" width="15.77734375" bestFit="1" customWidth="1"/>
    <col min="3" max="3" width="5.6640625" customWidth="1"/>
    <col min="4" max="4" width="14.6640625" customWidth="1"/>
    <col min="5" max="5" width="5.6640625" customWidth="1"/>
    <col min="6" max="6" width="14.88671875" bestFit="1" customWidth="1"/>
    <col min="7" max="13" width="14.88671875" customWidth="1"/>
    <col min="14" max="14" width="19.33203125" customWidth="1"/>
    <col min="15" max="15" width="5.5546875" customWidth="1"/>
    <col min="16" max="16" width="18.6640625" bestFit="1" customWidth="1"/>
    <col min="17" max="17" width="19.21875" bestFit="1" customWidth="1"/>
    <col min="18" max="18" width="5" customWidth="1"/>
    <col min="19" max="19" width="21.88671875" customWidth="1"/>
    <col min="20" max="20" width="9.88671875" customWidth="1"/>
    <col min="21" max="21" width="18.33203125" customWidth="1"/>
    <col min="22" max="22" width="3.6640625" customWidth="1"/>
    <col min="23" max="23" width="14.88671875" hidden="1" customWidth="1"/>
    <col min="25" max="25" width="14.88671875" bestFit="1" customWidth="1"/>
  </cols>
  <sheetData>
    <row r="2" spans="16:22" ht="15" thickBot="1" x14ac:dyDescent="0.35">
      <c r="Q2" s="55" t="s">
        <v>262</v>
      </c>
      <c r="R2" s="19"/>
    </row>
    <row r="3" spans="16:22" x14ac:dyDescent="0.3">
      <c r="Q3" s="52" t="s">
        <v>263</v>
      </c>
    </row>
    <row r="4" spans="16:22" ht="15" thickBot="1" x14ac:dyDescent="0.35">
      <c r="Q4" s="54" t="s">
        <v>252</v>
      </c>
    </row>
    <row r="6" spans="16:22" ht="15" thickBot="1" x14ac:dyDescent="0.35"/>
    <row r="7" spans="16:22" ht="15" thickBot="1" x14ac:dyDescent="0.35">
      <c r="S7" s="55" t="s">
        <v>253</v>
      </c>
    </row>
    <row r="8" spans="16:22" x14ac:dyDescent="0.3">
      <c r="S8" s="52" t="s">
        <v>247</v>
      </c>
    </row>
    <row r="9" spans="16:22" ht="15" thickBot="1" x14ac:dyDescent="0.35">
      <c r="S9" s="53" t="s">
        <v>251</v>
      </c>
    </row>
    <row r="10" spans="16:22" ht="15" thickBot="1" x14ac:dyDescent="0.35">
      <c r="P10" s="55" t="s">
        <v>250</v>
      </c>
      <c r="S10" s="54" t="s">
        <v>263</v>
      </c>
      <c r="U10" s="55" t="s">
        <v>265</v>
      </c>
      <c r="V10" s="19"/>
    </row>
    <row r="11" spans="16:22" ht="15" thickBot="1" x14ac:dyDescent="0.35">
      <c r="P11" s="53" t="s">
        <v>246</v>
      </c>
      <c r="U11" s="52" t="s">
        <v>266</v>
      </c>
    </row>
    <row r="12" spans="16:22" ht="15" thickBot="1" x14ac:dyDescent="0.35">
      <c r="P12" s="53" t="s">
        <v>142</v>
      </c>
      <c r="S12" s="55" t="s">
        <v>257</v>
      </c>
      <c r="U12" s="53" t="s">
        <v>142</v>
      </c>
    </row>
    <row r="13" spans="16:22" x14ac:dyDescent="0.3">
      <c r="P13" s="53" t="s">
        <v>247</v>
      </c>
      <c r="S13" s="52" t="s">
        <v>248</v>
      </c>
      <c r="U13" s="53" t="s">
        <v>247</v>
      </c>
    </row>
    <row r="14" spans="16:22" ht="15" thickBot="1" x14ac:dyDescent="0.35">
      <c r="P14" s="53" t="s">
        <v>248</v>
      </c>
      <c r="S14" s="53" t="s">
        <v>259</v>
      </c>
      <c r="U14" s="54" t="s">
        <v>248</v>
      </c>
    </row>
    <row r="15" spans="16:22" ht="15" thickBot="1" x14ac:dyDescent="0.35">
      <c r="P15" s="54" t="s">
        <v>249</v>
      </c>
      <c r="S15" s="53" t="s">
        <v>260</v>
      </c>
    </row>
    <row r="16" spans="16:22" ht="15" thickBot="1" x14ac:dyDescent="0.35">
      <c r="S16" s="54" t="s">
        <v>258</v>
      </c>
    </row>
    <row r="17" spans="17:19" ht="15" thickBot="1" x14ac:dyDescent="0.35"/>
    <row r="18" spans="17:19" ht="15" thickBot="1" x14ac:dyDescent="0.35">
      <c r="S18" s="55" t="s">
        <v>184</v>
      </c>
    </row>
    <row r="19" spans="17:19" x14ac:dyDescent="0.3">
      <c r="S19" s="52" t="s">
        <v>142</v>
      </c>
    </row>
    <row r="20" spans="17:19" x14ac:dyDescent="0.3">
      <c r="S20" s="53" t="s">
        <v>118</v>
      </c>
    </row>
    <row r="21" spans="17:19" x14ac:dyDescent="0.3">
      <c r="S21" s="53" t="s">
        <v>256</v>
      </c>
    </row>
    <row r="22" spans="17:19" ht="8.4" customHeight="1" x14ac:dyDescent="0.3">
      <c r="S22" s="53" t="s">
        <v>254</v>
      </c>
    </row>
    <row r="23" spans="17:19" ht="15" thickBot="1" x14ac:dyDescent="0.35">
      <c r="S23" s="54" t="s">
        <v>255</v>
      </c>
    </row>
    <row r="24" spans="17:19" ht="15" thickBot="1" x14ac:dyDescent="0.35">
      <c r="Q24" s="55" t="s">
        <v>264</v>
      </c>
      <c r="R24" s="19"/>
    </row>
    <row r="25" spans="17:19" x14ac:dyDescent="0.3">
      <c r="Q25" s="52" t="s">
        <v>258</v>
      </c>
    </row>
    <row r="26" spans="17:19" x14ac:dyDescent="0.3">
      <c r="Q26" s="53" t="s">
        <v>261</v>
      </c>
    </row>
    <row r="27" spans="17:19" ht="15" thickBot="1" x14ac:dyDescent="0.35">
      <c r="Q27" s="54" t="s">
        <v>119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">
                <anchor moveWithCells="1" sizeWithCells="1">
                  <from>
                    <xdr:col>1</xdr:col>
                    <xdr:colOff>655320</xdr:colOff>
                    <xdr:row>9</xdr:row>
                    <xdr:rowOff>121920</xdr:rowOff>
                  </from>
                  <to>
                    <xdr:col>4</xdr:col>
                    <xdr:colOff>358140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nowflakes">
                <anchor moveWithCells="1" sizeWithCells="1">
                  <from>
                    <xdr:col>1</xdr:col>
                    <xdr:colOff>624840</xdr:colOff>
                    <xdr:row>12</xdr:row>
                    <xdr:rowOff>76200</xdr:rowOff>
                  </from>
                  <to>
                    <xdr:col>5</xdr:col>
                    <xdr:colOff>624840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nstellation">
                <anchor moveWithCells="1" sizeWithCells="1">
                  <from>
                    <xdr:col>1</xdr:col>
                    <xdr:colOff>609600</xdr:colOff>
                    <xdr:row>15</xdr:row>
                    <xdr:rowOff>83820</xdr:rowOff>
                  </from>
                  <to>
                    <xdr:col>5</xdr:col>
                    <xdr:colOff>861060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29F18-31FB-4D8F-BCCF-A01A714EAC70}">
  <dimension ref="E5:I13"/>
  <sheetViews>
    <sheetView showGridLines="0" topLeftCell="C4" zoomScale="196" workbookViewId="0">
      <selection activeCell="I17" sqref="I17"/>
    </sheetView>
  </sheetViews>
  <sheetFormatPr defaultRowHeight="14.4" x14ac:dyDescent="0.3"/>
  <cols>
    <col min="5" max="5" width="20.44140625" bestFit="1" customWidth="1"/>
    <col min="6" max="6" width="2.33203125" customWidth="1"/>
    <col min="7" max="7" width="15.109375" bestFit="1" customWidth="1"/>
    <col min="9" max="9" width="19.44140625" bestFit="1" customWidth="1"/>
  </cols>
  <sheetData>
    <row r="5" spans="5:9" x14ac:dyDescent="0.3">
      <c r="G5" t="s">
        <v>138</v>
      </c>
    </row>
    <row r="6" spans="5:9" x14ac:dyDescent="0.3">
      <c r="E6" t="s">
        <v>139</v>
      </c>
      <c r="G6" t="s">
        <v>140</v>
      </c>
      <c r="H6" t="s">
        <v>141</v>
      </c>
      <c r="I6" t="s">
        <v>142</v>
      </c>
    </row>
    <row r="8" spans="5:9" x14ac:dyDescent="0.3">
      <c r="E8" s="4" t="s">
        <v>143</v>
      </c>
      <c r="F8" s="4"/>
      <c r="G8" s="4"/>
      <c r="H8" s="27"/>
      <c r="I8" s="4"/>
    </row>
    <row r="9" spans="5:9" x14ac:dyDescent="0.3">
      <c r="E9" s="4" t="s">
        <v>144</v>
      </c>
      <c r="F9" s="4"/>
      <c r="G9" s="4"/>
      <c r="H9" s="27"/>
      <c r="I9" s="4"/>
    </row>
    <row r="10" spans="5:9" x14ac:dyDescent="0.3">
      <c r="E10" s="4" t="s">
        <v>145</v>
      </c>
      <c r="F10" s="4"/>
      <c r="G10" s="28" t="s">
        <v>146</v>
      </c>
      <c r="H10" s="27"/>
      <c r="I10" s="29" t="s">
        <v>147</v>
      </c>
    </row>
    <row r="11" spans="5:9" x14ac:dyDescent="0.3">
      <c r="E11" s="4" t="s">
        <v>148</v>
      </c>
      <c r="F11" s="4"/>
      <c r="G11" s="28" t="s">
        <v>149</v>
      </c>
      <c r="H11" s="27"/>
      <c r="I11" s="29" t="s">
        <v>150</v>
      </c>
    </row>
    <row r="12" spans="5:9" x14ac:dyDescent="0.3">
      <c r="E12" s="4" t="s">
        <v>151</v>
      </c>
      <c r="F12" s="4"/>
      <c r="G12" s="28"/>
      <c r="H12" s="27"/>
      <c r="I12" s="29"/>
    </row>
    <row r="13" spans="5:9" x14ac:dyDescent="0.3">
      <c r="E13" s="4" t="s">
        <v>152</v>
      </c>
      <c r="F13" s="4"/>
      <c r="G13" s="28"/>
      <c r="H13" s="27"/>
      <c r="I13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990B9-45A2-47C5-8481-7E24211CD65C}">
  <dimension ref="E6:M24"/>
  <sheetViews>
    <sheetView showGridLines="0" topLeftCell="D4" zoomScale="140" zoomScaleNormal="140" workbookViewId="0">
      <selection activeCell="O16" sqref="O16"/>
    </sheetView>
  </sheetViews>
  <sheetFormatPr defaultRowHeight="14.4" x14ac:dyDescent="0.3"/>
  <cols>
    <col min="5" max="5" width="18.77734375" bestFit="1" customWidth="1"/>
    <col min="6" max="6" width="2.5546875" customWidth="1"/>
    <col min="7" max="7" width="15.5546875" bestFit="1" customWidth="1"/>
    <col min="8" max="8" width="2.5546875" customWidth="1"/>
    <col min="9" max="9" width="14.6640625" bestFit="1" customWidth="1"/>
    <col min="10" max="10" width="2.5546875" customWidth="1"/>
    <col min="11" max="11" width="18" bestFit="1" customWidth="1"/>
    <col min="12" max="12" width="2.5546875" customWidth="1"/>
    <col min="13" max="13" width="20.88671875" bestFit="1" customWidth="1"/>
    <col min="14" max="14" width="1.21875" customWidth="1"/>
    <col min="15" max="15" width="11.33203125" bestFit="1" customWidth="1"/>
    <col min="16" max="16" width="1.109375" customWidth="1"/>
    <col min="17" max="17" width="11.44140625" customWidth="1"/>
    <col min="18" max="18" width="1.21875" customWidth="1"/>
    <col min="19" max="19" width="17.77734375" bestFit="1" customWidth="1"/>
    <col min="20" max="20" width="1.109375" customWidth="1"/>
    <col min="21" max="21" width="20.77734375" bestFit="1" customWidth="1"/>
  </cols>
  <sheetData>
    <row r="6" spans="5:13" x14ac:dyDescent="0.3">
      <c r="E6" s="30" t="s">
        <v>153</v>
      </c>
      <c r="G6" s="30" t="s">
        <v>154</v>
      </c>
      <c r="I6" s="30" t="s">
        <v>155</v>
      </c>
      <c r="K6" s="31" t="s">
        <v>156</v>
      </c>
      <c r="M6" s="31" t="s">
        <v>110</v>
      </c>
    </row>
    <row r="7" spans="5:13" x14ac:dyDescent="0.3">
      <c r="E7" s="58" t="s">
        <v>143</v>
      </c>
      <c r="G7" s="58" t="s">
        <v>157</v>
      </c>
      <c r="I7" t="s">
        <v>158</v>
      </c>
      <c r="K7" s="58" t="s">
        <v>159</v>
      </c>
      <c r="M7" t="s">
        <v>160</v>
      </c>
    </row>
    <row r="8" spans="5:13" x14ac:dyDescent="0.3">
      <c r="E8" s="58" t="s">
        <v>144</v>
      </c>
      <c r="G8" s="58" t="s">
        <v>161</v>
      </c>
      <c r="I8" t="s">
        <v>162</v>
      </c>
      <c r="K8" s="58" t="s">
        <v>163</v>
      </c>
      <c r="M8" t="s">
        <v>164</v>
      </c>
    </row>
    <row r="9" spans="5:13" x14ac:dyDescent="0.3">
      <c r="E9" s="58" t="s">
        <v>145</v>
      </c>
      <c r="I9" t="s">
        <v>165</v>
      </c>
      <c r="K9" s="58" t="s">
        <v>166</v>
      </c>
      <c r="M9" t="s">
        <v>167</v>
      </c>
    </row>
    <row r="10" spans="5:13" x14ac:dyDescent="0.3">
      <c r="E10" s="58" t="s">
        <v>148</v>
      </c>
      <c r="G10" s="30" t="s">
        <v>168</v>
      </c>
      <c r="I10" s="58" t="s">
        <v>169</v>
      </c>
      <c r="M10" s="58" t="s">
        <v>170</v>
      </c>
    </row>
    <row r="11" spans="5:13" x14ac:dyDescent="0.3">
      <c r="E11" s="58" t="s">
        <v>151</v>
      </c>
      <c r="G11" s="58" t="s">
        <v>171</v>
      </c>
      <c r="I11" s="58" t="s">
        <v>172</v>
      </c>
      <c r="K11" s="58" t="s">
        <v>173</v>
      </c>
    </row>
    <row r="12" spans="5:13" x14ac:dyDescent="0.3">
      <c r="E12" s="58" t="s">
        <v>152</v>
      </c>
      <c r="G12" s="58" t="s">
        <v>174</v>
      </c>
      <c r="I12" s="58" t="s">
        <v>175</v>
      </c>
      <c r="K12" s="58" t="s">
        <v>176</v>
      </c>
    </row>
    <row r="13" spans="5:13" x14ac:dyDescent="0.3">
      <c r="I13" s="58" t="s">
        <v>177</v>
      </c>
      <c r="K13" s="58" t="s">
        <v>178</v>
      </c>
    </row>
    <row r="14" spans="5:13" x14ac:dyDescent="0.3">
      <c r="E14" s="30" t="s">
        <v>179</v>
      </c>
      <c r="G14" s="31" t="s">
        <v>180</v>
      </c>
      <c r="I14" s="58" t="s">
        <v>181</v>
      </c>
      <c r="K14" s="58" t="s">
        <v>182</v>
      </c>
    </row>
    <row r="15" spans="5:13" x14ac:dyDescent="0.3">
      <c r="E15" s="58" t="s">
        <v>183</v>
      </c>
      <c r="G15" s="58" t="s">
        <v>184</v>
      </c>
      <c r="I15" s="58" t="s">
        <v>185</v>
      </c>
    </row>
    <row r="16" spans="5:13" x14ac:dyDescent="0.3">
      <c r="E16" s="58" t="s">
        <v>186</v>
      </c>
      <c r="G16" s="58" t="s">
        <v>187</v>
      </c>
      <c r="I16" s="58" t="s">
        <v>188</v>
      </c>
    </row>
    <row r="17" spans="5:7" x14ac:dyDescent="0.3">
      <c r="E17" s="58" t="s">
        <v>189</v>
      </c>
    </row>
    <row r="18" spans="5:7" x14ac:dyDescent="0.3">
      <c r="E18" s="58" t="s">
        <v>190</v>
      </c>
      <c r="G18" s="31" t="s">
        <v>76</v>
      </c>
    </row>
    <row r="19" spans="5:7" x14ac:dyDescent="0.3">
      <c r="E19" s="58" t="s">
        <v>191</v>
      </c>
      <c r="G19" s="58" t="s">
        <v>192</v>
      </c>
    </row>
    <row r="21" spans="5:7" x14ac:dyDescent="0.3">
      <c r="E21" s="30" t="s">
        <v>193</v>
      </c>
      <c r="G21" t="s">
        <v>194</v>
      </c>
    </row>
    <row r="22" spans="5:7" x14ac:dyDescent="0.3">
      <c r="E22" t="s">
        <v>195</v>
      </c>
      <c r="G22" s="58" t="s">
        <v>196</v>
      </c>
    </row>
    <row r="23" spans="5:7" x14ac:dyDescent="0.3">
      <c r="E23" t="s">
        <v>197</v>
      </c>
    </row>
    <row r="24" spans="5:7" x14ac:dyDescent="0.3">
      <c r="E24" t="s">
        <v>198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CD1FC-BD3D-4AAC-A95D-B1552D6B4059}">
  <dimension ref="F2:H7"/>
  <sheetViews>
    <sheetView topLeftCell="D1" zoomScale="245" workbookViewId="0">
      <selection activeCell="H8" sqref="H8"/>
    </sheetView>
  </sheetViews>
  <sheetFormatPr defaultRowHeight="14.4" x14ac:dyDescent="0.3"/>
  <cols>
    <col min="6" max="6" width="10.33203125" bestFit="1" customWidth="1"/>
  </cols>
  <sheetData>
    <row r="2" spans="6:8" x14ac:dyDescent="0.3">
      <c r="F2" t="s">
        <v>199</v>
      </c>
      <c r="H2" t="s">
        <v>200</v>
      </c>
    </row>
    <row r="3" spans="6:8" x14ac:dyDescent="0.3">
      <c r="F3" s="32">
        <v>45474</v>
      </c>
    </row>
    <row r="4" spans="6:8" x14ac:dyDescent="0.3">
      <c r="F4" s="32">
        <v>45476</v>
      </c>
      <c r="H4" t="s">
        <v>180</v>
      </c>
    </row>
    <row r="5" spans="6:8" x14ac:dyDescent="0.3">
      <c r="F5" s="32">
        <v>45488</v>
      </c>
      <c r="H5" t="s">
        <v>201</v>
      </c>
    </row>
    <row r="6" spans="6:8" x14ac:dyDescent="0.3">
      <c r="F6" s="32">
        <v>45490</v>
      </c>
    </row>
    <row r="7" spans="6:8" x14ac:dyDescent="0.3">
      <c r="F7" s="32">
        <v>45503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605D7-41D8-4D2F-B6EF-09E3BE18FAE1}">
  <dimension ref="B6:G14"/>
  <sheetViews>
    <sheetView showGridLines="0" topLeftCell="B6" zoomScale="184" workbookViewId="0">
      <selection activeCell="C16" sqref="C16"/>
    </sheetView>
  </sheetViews>
  <sheetFormatPr defaultRowHeight="14.4" x14ac:dyDescent="0.3"/>
  <cols>
    <col min="2" max="2" width="18" bestFit="1" customWidth="1"/>
    <col min="4" max="4" width="20.21875" bestFit="1" customWidth="1"/>
    <col min="5" max="5" width="17.77734375" customWidth="1"/>
    <col min="6" max="6" width="18.5546875" customWidth="1"/>
    <col min="7" max="7" width="13.77734375" bestFit="1" customWidth="1"/>
  </cols>
  <sheetData>
    <row r="6" spans="2:7" x14ac:dyDescent="0.3">
      <c r="D6" t="s">
        <v>202</v>
      </c>
      <c r="E6" t="s">
        <v>142</v>
      </c>
      <c r="F6" t="s">
        <v>203</v>
      </c>
      <c r="G6" t="s">
        <v>204</v>
      </c>
    </row>
    <row r="8" spans="2:7" x14ac:dyDescent="0.3">
      <c r="B8" s="2" t="s">
        <v>205</v>
      </c>
      <c r="C8" s="2"/>
      <c r="D8" s="33" t="s">
        <v>206</v>
      </c>
      <c r="E8" s="2" t="s">
        <v>207</v>
      </c>
      <c r="F8" s="2" t="s">
        <v>207</v>
      </c>
      <c r="G8" s="2" t="s">
        <v>208</v>
      </c>
    </row>
    <row r="9" spans="2:7" x14ac:dyDescent="0.3">
      <c r="B9" t="s">
        <v>209</v>
      </c>
      <c r="D9" s="34" t="s">
        <v>210</v>
      </c>
      <c r="E9" t="s">
        <v>211</v>
      </c>
      <c r="F9" t="s">
        <v>212</v>
      </c>
    </row>
    <row r="10" spans="2:7" x14ac:dyDescent="0.3">
      <c r="B10" s="2" t="s">
        <v>213</v>
      </c>
      <c r="C10" s="2"/>
      <c r="D10" s="33" t="s">
        <v>214</v>
      </c>
      <c r="E10" s="2" t="s">
        <v>215</v>
      </c>
      <c r="F10" s="2" t="s">
        <v>216</v>
      </c>
      <c r="G10" s="2"/>
    </row>
    <row r="11" spans="2:7" x14ac:dyDescent="0.3">
      <c r="B11" t="s">
        <v>217</v>
      </c>
      <c r="D11" s="34" t="s">
        <v>218</v>
      </c>
      <c r="E11" t="s">
        <v>219</v>
      </c>
      <c r="F11" t="s">
        <v>220</v>
      </c>
    </row>
    <row r="12" spans="2:7" x14ac:dyDescent="0.3">
      <c r="B12" s="2" t="s">
        <v>221</v>
      </c>
      <c r="C12" s="2"/>
      <c r="D12" s="33" t="s">
        <v>222</v>
      </c>
      <c r="E12" s="2" t="s">
        <v>223</v>
      </c>
      <c r="F12" s="2" t="s">
        <v>224</v>
      </c>
      <c r="G12" s="2"/>
    </row>
    <row r="13" spans="2:7" x14ac:dyDescent="0.3">
      <c r="B13" t="s">
        <v>225</v>
      </c>
      <c r="D13" s="34" t="s">
        <v>226</v>
      </c>
      <c r="E13" t="s">
        <v>227</v>
      </c>
      <c r="F13" t="s">
        <v>227</v>
      </c>
      <c r="G13" t="s">
        <v>228</v>
      </c>
    </row>
    <row r="14" spans="2:7" x14ac:dyDescent="0.3">
      <c r="B14" s="2" t="s">
        <v>229</v>
      </c>
      <c r="C14" s="2"/>
      <c r="D14" s="33" t="s">
        <v>230</v>
      </c>
      <c r="E14" s="2" t="s">
        <v>231</v>
      </c>
      <c r="F14" s="2" t="s">
        <v>231</v>
      </c>
      <c r="G14" s="2" t="s">
        <v>231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49674-E30A-4FCC-91ED-DC3A98E1BABB}">
  <dimension ref="C2:F6"/>
  <sheetViews>
    <sheetView showGridLines="0" topLeftCell="B1" zoomScale="194" workbookViewId="0">
      <selection activeCell="D13" sqref="D13"/>
    </sheetView>
  </sheetViews>
  <sheetFormatPr defaultRowHeight="14.4" x14ac:dyDescent="0.3"/>
  <cols>
    <col min="3" max="3" width="12" customWidth="1"/>
  </cols>
  <sheetData>
    <row r="2" spans="3:6" x14ac:dyDescent="0.3">
      <c r="C2" s="2" t="s">
        <v>232</v>
      </c>
      <c r="D2" s="2" t="s">
        <v>233</v>
      </c>
      <c r="E2" s="2"/>
      <c r="F2" s="2"/>
    </row>
    <row r="3" spans="3:6" x14ac:dyDescent="0.3">
      <c r="C3" t="s">
        <v>234</v>
      </c>
      <c r="D3" t="s">
        <v>235</v>
      </c>
    </row>
    <row r="4" spans="3:6" x14ac:dyDescent="0.3">
      <c r="C4" s="2" t="s">
        <v>236</v>
      </c>
      <c r="D4" s="2" t="s">
        <v>237</v>
      </c>
      <c r="E4" s="2"/>
      <c r="F4" s="2"/>
    </row>
    <row r="5" spans="3:6" x14ac:dyDescent="0.3">
      <c r="D5" t="s">
        <v>238</v>
      </c>
    </row>
    <row r="6" spans="3:6" x14ac:dyDescent="0.3">
      <c r="D6" t="s">
        <v>239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Charts &amp; Uses</vt:lpstr>
      <vt:lpstr>Curriculum (2)</vt:lpstr>
      <vt:lpstr>Questions</vt:lpstr>
      <vt:lpstr>Curriculum</vt:lpstr>
      <vt:lpstr>Sheet2</vt:lpstr>
      <vt:lpstr>group by</vt:lpstr>
      <vt:lpstr>Sheet1</vt:lpstr>
      <vt:lpstr>Fill</vt:lpstr>
      <vt:lpstr>Cardinality</vt:lpstr>
      <vt:lpstr>Schema Types</vt:lpstr>
      <vt:lpstr>Aggregations</vt:lpstr>
      <vt:lpstr>Functions</vt:lpstr>
      <vt:lpstr>Calendar Table</vt:lpstr>
      <vt:lpstr>Comparision Operators</vt:lpstr>
      <vt:lpstr>Logical 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Neha Tadam</dc:creator>
  <cp:lastModifiedBy>Neha Tadam</cp:lastModifiedBy>
  <dcterms:created xsi:type="dcterms:W3CDTF">2024-05-07T03:37:30Z</dcterms:created>
  <dcterms:modified xsi:type="dcterms:W3CDTF">2025-02-25T08:13:27Z</dcterms:modified>
</cp:coreProperties>
</file>